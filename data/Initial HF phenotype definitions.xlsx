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12"/>
  <workbookPr/>
  <mc:AlternateContent xmlns:mc="http://schemas.openxmlformats.org/markup-compatibility/2006">
    <mc:Choice Requires="x15">
      <x15ac:absPath xmlns:x15ac="http://schemas.microsoft.com/office/spreadsheetml/2010/11/ac" url="C:\Users\JackieMacArthur\Box\2. Improving\BHF Data Science Centre\WS4 - Defining Disease\Phenotyping assessment\Heart failure phenotyping\Initial phenotype definitions\"/>
    </mc:Choice>
  </mc:AlternateContent>
  <xr:revisionPtr revIDLastSave="37" documentId="13_ncr:1_{05B982AB-4E2D-409A-B508-1B287240B8F6}" xr6:coauthVersionLast="47" xr6:coauthVersionMax="47" xr10:uidLastSave="{A39AAA57-53BF-4C06-9048-C4B3292F0633}"/>
  <bookViews>
    <workbookView xWindow="312" yWindow="816" windowWidth="18936" windowHeight="15672" firstSheet="1" activeTab="1" xr2:uid="{00000000-000D-0000-FFFF-FFFF00000000}"/>
  </bookViews>
  <sheets>
    <sheet name="Overview" sheetId="3" r:id="rId1"/>
    <sheet name="Table 1" sheetId="4" r:id="rId2"/>
    <sheet name="Table 2" sheetId="6"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9" i="4" l="1"/>
  <c r="B39" i="6"/>
</calcChain>
</file>

<file path=xl/sharedStrings.xml><?xml version="1.0" encoding="utf-8"?>
<sst xmlns="http://schemas.openxmlformats.org/spreadsheetml/2006/main" count="780" uniqueCount="224">
  <si>
    <t>Project:</t>
  </si>
  <si>
    <t>Heart failure phenotyping assessment</t>
  </si>
  <si>
    <t>Theme:</t>
  </si>
  <si>
    <t>Defining disease</t>
  </si>
  <si>
    <t>Aim:</t>
  </si>
  <si>
    <t>Produce a reusable benchmarking pipeline to guide researchers' decision-making on which phenotype definition to use for their project</t>
  </si>
  <si>
    <t>This spreadsheet contains the initial table with the heart failure phenotype definitions retrieved from searches across multiple repositories (top level summary)</t>
  </si>
  <si>
    <t>Tab name</t>
  </si>
  <si>
    <t>Contents</t>
  </si>
  <si>
    <t>Table 1</t>
  </si>
  <si>
    <t>Top level summary of existing algorithms</t>
  </si>
  <si>
    <t>Table 2</t>
  </si>
  <si>
    <t>Dataset requirements for each algorithm</t>
  </si>
  <si>
    <t>Label</t>
  </si>
  <si>
    <t>Phenotype name</t>
  </si>
  <si>
    <t>Repository/location</t>
  </si>
  <si>
    <t>Accession ID/URL/repository link</t>
  </si>
  <si>
    <t xml:space="preserve">Version </t>
  </si>
  <si>
    <t>Github link</t>
  </si>
  <si>
    <t>Coding terminology used</t>
  </si>
  <si>
    <t>All coding terminologies available within NHS SDE?</t>
  </si>
  <si>
    <t>Further detail of phenotype definition</t>
  </si>
  <si>
    <t>Inclusion/exclusion criteria of phenotype definition</t>
  </si>
  <si>
    <t>Publication DOI</t>
  </si>
  <si>
    <t>All coding terminologies required?</t>
  </si>
  <si>
    <t>Phenoflow information available?</t>
  </si>
  <si>
    <t>Reason for exclusion</t>
  </si>
  <si>
    <t>Creator name</t>
  </si>
  <si>
    <t>Creator email</t>
  </si>
  <si>
    <t>pheno_01</t>
  </si>
  <si>
    <t>Heart failure</t>
  </si>
  <si>
    <t>HDR UK Phenotype Library</t>
  </si>
  <si>
    <t>PH182</t>
  </si>
  <si>
    <t>N/A</t>
  </si>
  <si>
    <t>ICD10, READ CODES V2, MED CODES</t>
  </si>
  <si>
    <t>No (but contains at least one)</t>
  </si>
  <si>
    <t>At the specified date, a patient is defined as having had 'Heart failure' IF they meet the criteria for any of the following on or before the specified date. The earliest date on which the individual meets any of the following criteria on or before the specified date is defined as the first event date:
Primary care: 
- 'Heart failure' diagnosis or history of diagnosis during a consultation
OR 
Secondary care (ICD10):
- ALL diagnoses of 'Heart failure' or history of diagnosis during a hospitalization</t>
  </si>
  <si>
    <t>No details</t>
  </si>
  <si>
    <t>https://doi.org/10.1016/S2589-7500(19)30012-3</t>
  </si>
  <si>
    <t>No (primary or secondary)</t>
  </si>
  <si>
    <t>No</t>
  </si>
  <si>
    <t>None</t>
  </si>
  <si>
    <t>Ieuan Scanlon</t>
  </si>
  <si>
    <t>pheno_02</t>
  </si>
  <si>
    <t>Heart Failure (fatal/non-fatal)</t>
  </si>
  <si>
    <t>PH1028</t>
  </si>
  <si>
    <t>ICD10, ICD9, READ CODES V2</t>
  </si>
  <si>
    <t>We took the first occurring diagnosis code in primary, secondary care or the death registry to define the date, and clinical setting, of diagnosis. A prevalent case was defined as existing at or before the date of baseline; and incident case was defined as the new occurrence of a heart failure diagnosis code among people who, at baseline, did not have any previous diagnosis codes. ![Flow chart diagram illustrating the CALIBER phenotype algorithm for heart failure.][images/hf_flowchart.png] For identifying prevalent cases in primary care, we used a broader list of Read terms in addition to the case definition. While these terms alone did not provide sufficient certainty to identify incident cases, using them to exclude prevalent cases ensured that we removed any patient that had a historic or suspected HF diagnosis from the analysis.
Based on the individual distribution of HF records, we formulated four groups of interest based on the presence or absence of a HF record in each of the three data sources</t>
  </si>
  <si>
    <t>We excluded patients under 30 years of age and those not registered during the study period at a CPRD practice, or whose CPRD practices did not submit data for at least 1 year before the diagnosis of HF.</t>
  </si>
  <si>
    <t>https://doi.org/10.1002/ejhf.709</t>
  </si>
  <si>
    <t>No (primary, secondary or deaths)</t>
  </si>
  <si>
    <t>pheno_03</t>
  </si>
  <si>
    <t>Congestive heart failure - Charlson primary care</t>
  </si>
  <si>
    <t>PH1055</t>
  </si>
  <si>
    <t>READ CODES V2</t>
  </si>
  <si>
    <t xml:space="preserve">No details </t>
  </si>
  <si>
    <t>https://doi.org/10.1186/s12874-019-0753-5</t>
  </si>
  <si>
    <t>Yes (but just has one coding termiology anyways)</t>
  </si>
  <si>
    <t>Only contains coding terminologies not accessible within the SDE</t>
  </si>
  <si>
    <t>pheno_04</t>
  </si>
  <si>
    <t>Congestive heart failure - Elixhauser primary care</t>
  </si>
  <si>
    <t xml:space="preserve">PH1074 </t>
  </si>
  <si>
    <t>pheno_05</t>
  </si>
  <si>
    <t>PH1721</t>
  </si>
  <si>
    <t>SNOMED CT, ICD10</t>
  </si>
  <si>
    <t>Yes</t>
  </si>
  <si>
    <t>No information available</t>
  </si>
  <si>
    <t>Kelly Fleetwood</t>
  </si>
  <si>
    <t>pheno_06</t>
  </si>
  <si>
    <t>Heart Failure</t>
  </si>
  <si>
    <t>PH530</t>
  </si>
  <si>
    <t>https://doi.org/10.1007/s00125-014-3473-8</t>
  </si>
  <si>
    <t>pheno_07</t>
  </si>
  <si>
    <t>PH531</t>
  </si>
  <si>
    <t xml:space="preserve">READ CODES V2, OXMIS </t>
  </si>
  <si>
    <t>https://bmjopen.bmj.com/content/5/12/e008650</t>
  </si>
  <si>
    <t>pheno_08</t>
  </si>
  <si>
    <t>PH631</t>
  </si>
  <si>
    <t>READ CODE V2, OXMIS</t>
  </si>
  <si>
    <t>https://bmjopen.bmj.com/content/5/12/e009010</t>
  </si>
  <si>
    <t>pheno_09</t>
  </si>
  <si>
    <t xml:space="preserve">Heart failure  </t>
  </si>
  <si>
    <t>PH25</t>
  </si>
  <si>
    <t xml:space="preserve">SNOMED CT </t>
  </si>
  <si>
    <t>Data source: King's College London NHS Foundation Trust
The data (demographics, emergency department letters, discharge summaries, clinical notes, lab results, vital signs) were retrieved and analyzed in near real-time from the structured and unstructured components of the electronic health record (EHR) using a variety of natural language processing (NLP) informatics tools belonging to the CogStack ecosystem, namely MedCAT and MedCATTrainer. The CogStack NLP pipeline captures negation, synonyms, and acronyms for medical SNOMED-CT concepts as well as surrounding linguistic context using deep learning and long short-term memory networks. MedCAT produces unsupervised annotations for all SNOMED-CT concepts under parent terms Clinical Finding, Disorder, Organism, and Event with disambiguation, pre-trained on MIMIC-III. The annotated SNOMED-CT terms are summarised below</t>
  </si>
  <si>
    <t>https://doi.org/10.1101/2020.04.24.20078006</t>
  </si>
  <si>
    <t>pheno_10</t>
  </si>
  <si>
    <t>Heart failure (P5)</t>
  </si>
  <si>
    <t>PH687</t>
  </si>
  <si>
    <t>https://doi.org/10.1136/bmj.h5501</t>
  </si>
  <si>
    <t>pheno_11</t>
  </si>
  <si>
    <t xml:space="preserve">Heart failure </t>
  </si>
  <si>
    <t>PH968</t>
  </si>
  <si>
    <t>https://github.com/BHFDSC/CCU002_01/blob/main/england/phenotypes/CCU002_01_phenotypes.csv</t>
  </si>
  <si>
    <t>SNOMED CT, ICD10, READ CODES V2</t>
  </si>
  <si>
    <t>https://doi.org/10.1161/circulationaha.122.060785</t>
  </si>
  <si>
    <t>pheno_12</t>
  </si>
  <si>
    <t>Heart failure (HF)</t>
  </si>
  <si>
    <t>PH993</t>
  </si>
  <si>
    <t>https://github.com/BHFDSC/CCU002_02/blob/main/phenotypes/phenotypes.csv</t>
  </si>
  <si>
    <t>https://doi.org/10.1371/journal.pmed.1003926</t>
  </si>
  <si>
    <t>pheno_13</t>
  </si>
  <si>
    <t>Congestive heart failure (Charlson comorbidity index)</t>
  </si>
  <si>
    <t>PH1660</t>
  </si>
  <si>
    <t>ICD10</t>
  </si>
  <si>
    <t xml:space="preserve">Using the ICD-10 coding algorithm developed by Quan et al. (12), we identified the Charlson comorbidities in any
of the secondary diagnosis coding fields, excluding conditions that occurred or were diagnosed during hospitalization
on the basis of the diagnosis type indicator.  For each patient, we retrieved all records 1 year prior to the date of the index
hospitalization to identify comorbidities. We defined comorbidities in the previous admissions using major and secondary diagnoses, without consideration of diagnosis type. </t>
  </si>
  <si>
    <t>https://doi.org/10.1093/aje/kwq433</t>
  </si>
  <si>
    <t>pheno_14</t>
  </si>
  <si>
    <t>Heart failure medication</t>
  </si>
  <si>
    <t>PH1603</t>
  </si>
  <si>
    <t>https://github.com/BHFDSC/CCU014_01</t>
  </si>
  <si>
    <t>BNF CODES</t>
  </si>
  <si>
    <t>Medications were selected from British National Formulary (BNF0 Chapter 2 (Cardiovascular System) and Chapter 6 (Endocrine System))28. These were manually curated (initially by R.S. and reviewed by A.S.), selecting therapies used and/or licensed to treat CVD into 11 subgroups: Antihypertensives, Antiplatelets secondary prevention (primary for diabetes mellitus), DOAC, Warfarin, Heparins, Lipid-lowering, T2DM, Insulin, Heart failure, AF and Angina
Medications were categorized according to their primary indication to prevent double counting.</t>
  </si>
  <si>
    <t>We included medications dispensed to individuals aged between 18 years and 111 years, with gender self-reported as male or female, at pharmacies in the relevant nation. We excluded individuals with a date of death recorded before 1 April 2018 or a null date of birth. Medications dispensed between 1 April 2018 and 31 July 2021 were included for all three nations. For stratified and incident analyses, medication records were required to have a valid pseudo-identifier ID (a non-identifying unique master key that replaces the NHS number across all datasets) to enable individual-level matching to socio-demographic and regional characteristics.</t>
  </si>
  <si>
    <t>https://doi.org/10.1038/s41591-022-02158-7</t>
  </si>
  <si>
    <t>pheno_15</t>
  </si>
  <si>
    <t>PH1749</t>
  </si>
  <si>
    <t>https://github.com/BHFDSC/CCU002_03/blob/main/england/phenotypes/ccu002_03_codelists.csv</t>
  </si>
  <si>
    <t>https://doi.org/10.1101/2022.03.06.21267462</t>
  </si>
  <si>
    <t>pheno_16</t>
  </si>
  <si>
    <t>PH1784</t>
  </si>
  <si>
    <t>https://github.com/BHFDSC/CCU003_04/blob/main/england/phenotypes/Code%20lists.docx</t>
  </si>
  <si>
    <t>Data Source:
The study used national, routinely collected electronic hospital data from England, Scotland, and Wales, specifically focusing on hospital admissions. HES APC for England
Phenotype Definition:
Heart failure (HF) cases were identified as hospital admissions with a primary diagnosis of heart failure.
Coding System:
The identification was based on ICD-10 codes recorded as the primary diagnosis for each hospital admission.
ICD-10 Codes Used:
I50 (Heart failure)
Incident and Elective/Emergency Admissions:
The study analyzed both emergency and elective hospital admissions for heart failure, using the date and urgency of the admission as recorded in the hospital data.</t>
  </si>
  <si>
    <t>The study population included all individuals admitted to hospital in England, Scotland, or Wales with a primary diagnosis of each CVD subtype between 1 January, 2016 and 31 December, 2021- the study period covers 4 years before the COVID-19 pandemic for comparison with the first 2 years of the pandemic. The study population also included all individuals admitted for each of the associated CVD procedures to ensure that all procedures were captured, since the associated CVD subtype diagnosis might not necessarily be recorded as the primary diagnosis for these admissions.</t>
  </si>
  <si>
    <t>https://doi.org/10.1093/ehjqcco/qcac077</t>
  </si>
  <si>
    <t>pheno_17</t>
  </si>
  <si>
    <t>PH1631</t>
  </si>
  <si>
    <t>https://github.com/BHFDSC/CCU002_06/blob/main/phenotypes/CCU002_06_codelists.csv</t>
  </si>
  <si>
    <t xml:space="preserve">https://doi.org/10.1038/s41467-024-49634-x </t>
  </si>
  <si>
    <t>pheno_18</t>
  </si>
  <si>
    <t>PH1645</t>
  </si>
  <si>
    <t>ICD10 codes
Read codes v2
Read codes v3
OPCS4 codes
UKBioBank codes
ICD9 codes</t>
  </si>
  <si>
    <t>The study evaluated three algorithms for identifying heart failure hospitalizations using NHS Digital data:
- The I50 code set (ICD-10 I50.x)
- The OIS code set (CCG Outcomes Indicator Set)
- The NICOR code set (National Heart Failure Audit)
Each algorithm classifies a hospitalization as heart failure if the relevant codes appear in the diagnosis fields, most specifically in the primary diagnosis position.</t>
  </si>
  <si>
    <t>pheno_20</t>
  </si>
  <si>
    <t>OpenCodelists</t>
  </si>
  <si>
    <t>https://www.opencodelists.org/codelist/pincer/hf/v1.8/</t>
  </si>
  <si>
    <t>v1.8(6c696a17)</t>
  </si>
  <si>
    <t>SNOMED CT</t>
  </si>
  <si>
    <t xml:space="preserve">No available DOI </t>
  </si>
  <si>
    <t>pheno_21</t>
  </si>
  <si>
    <t>Heart failure codes</t>
  </si>
  <si>
    <t>https://www.opencodelists.org/codelist/nhsd-primary-care-domain-refsets/hf_cod/20241205/</t>
  </si>
  <si>
    <t>20241205(70b49c5d)</t>
  </si>
  <si>
    <t>pheno_22</t>
  </si>
  <si>
    <t>https://www.opencodelists.org/codelist/opensafely/heart-failure/2020-05-05/</t>
  </si>
  <si>
    <t>2020-05-05(79d3cc84)</t>
  </si>
  <si>
    <t>CTV3 (Read V3)</t>
  </si>
  <si>
    <t>pheno_23</t>
  </si>
  <si>
    <t>incident heart failure</t>
  </si>
  <si>
    <t>https://www.opencodelists.org/codelist/opensafely/incident-heart-failure-1/3c06f7bc/#full-list</t>
  </si>
  <si>
    <t>(3c06f7bc)</t>
  </si>
  <si>
    <t>pheno_24</t>
  </si>
  <si>
    <t>Reduced ejection fraction (heart failure) codes</t>
  </si>
  <si>
    <t>https://www.opencodelists.org/codelist/nhsd-primary-care-domain-refsets/redejcfrac_cod/20241205/</t>
  </si>
  <si>
    <t>20241205(2ffc064a)</t>
  </si>
  <si>
    <t>pheno_25</t>
  </si>
  <si>
    <t>Multimorbidity_heart failure</t>
  </si>
  <si>
    <t>https://www.opencodelists.org/codelist/bristol/multimorbidity_heart-failure/4c00a3c7/</t>
  </si>
  <si>
    <t>(4c00a3c7)</t>
  </si>
  <si>
    <t>https://doi.org/10.3399/BJGP.2022.0235</t>
  </si>
  <si>
    <t>pheno_26</t>
  </si>
  <si>
    <t>Incident heart failure</t>
  </si>
  <si>
    <t>https://www.opencodelists.org/codelist/opensafely/incident-heart-failure/07a6c89f/</t>
  </si>
  <si>
    <t>(07a6c89f)</t>
  </si>
  <si>
    <t>pheno_27</t>
  </si>
  <si>
    <t>Codes for heart failure due to left ventricular systolic dysfunction (LVSD)</t>
  </si>
  <si>
    <t>https://www.opencodelists.org/codelist/nhsd-primary-care-domain-refsets/hflvsd_cod/20241205/#full-list</t>
  </si>
  <si>
    <t>20241205(44634425)</t>
  </si>
  <si>
    <t>pheno_28</t>
  </si>
  <si>
    <t>GitHub</t>
  </si>
  <si>
    <t>https://github.com/BHFDSC/CCU003_03/blob/main/phenotypes/Heart_failure.csv</t>
  </si>
  <si>
    <t>https://github.com/BHFDSC/CCU003_03/tree/main/phenotypes</t>
  </si>
  <si>
    <t>https://doi.org/10.1177/01410768221131897</t>
  </si>
  <si>
    <t>pheno_29</t>
  </si>
  <si>
    <t>https://github.com/BHFDSC/CCU045_02/blob/main/phenotypes/chronic_medical_conditions/01_codelist_heart_failure.csv</t>
  </si>
  <si>
    <t>We identified patients with heart failure as the primary diagnosis in any consultant episode of an in-patient admission to an NHS hospital from Jan 1, 2019, to Dec 31, 2022. 
We categorised patients into new onset heart failure and chronic decompensated heart failure (see appendix p 11 for the diagnostic codes). Patients with new onset heart failure were defined as those with a first heart failure admission during the study period and no previous documented diagnosis of heart failure in primary or secondary care within at least 1 year before the first heart failure admission. Patients with chronic decompensated heart failure were those with a previous diagnosis of heart failure in GDPPR or HES before the index heart failure admission.</t>
  </si>
  <si>
    <t>We excluded individuals with less than 1 year of medical history records in primary or secondary care; admissions to NHS hospitals for which less than 10% of heart failure cases were linkable to the NHFA to ensure high data quality and maintain generalisability for the population of England (appendix pp 20–21); individuals younger than 18 years at the time of the heart failure hospitalisation; and patients who died in hospital during the index heart failure admission (appendix p 22).</t>
  </si>
  <si>
    <t>https://doi.org/10.1016/S2468-2667(24)00215-9</t>
  </si>
  <si>
    <t>Includes invalid SNOMED CT codes, however we are investigating as the codes appear to have been corrupted in Excel</t>
  </si>
  <si>
    <t>pheno_30</t>
  </si>
  <si>
    <t>https://github.com/BHFDSC/CCU035_01/blob/cd53aaaabe76b1592732a864f42f3f282f7bd0e8/code/CCU035_01-D01-codelist.py#L1137</t>
  </si>
  <si>
    <t>Cardiovascular outcomes over follow-up were defined using primary, secondary and mortality data. First cardiovascular event during follow-up was identified. Outcomes were defined as:
venous thromboembolism (VTE) events (deep vein thrombosis and portal vein thrombosis);
coagulopathy events (disseminated intravascular coagulopathy, thrombotic thrombocytopenic purpura, thrombocytopenia, and thrombophilia);
- heart failure (HF), including cardiomyopathy;
- angina (stable and unstable angina);
- myocarditis and pericarditis;
- stroke (ischaemic and haemorrhagic);
- myocardial infarction (MI);
- pulmonary embolism; and
- arrhythmias.</t>
  </si>
  <si>
    <t>https://doi.org/10.1093/ije/dyae068</t>
  </si>
  <si>
    <t>pheno_31</t>
  </si>
  <si>
    <t>https://github.com/BHFDSC/CCU018_01/blob/23082697ab94a2d304c09043713cd1d2cebf6808/england/code/CCU018_01-D02-codelist.py#L602</t>
  </si>
  <si>
    <t>Defined using primary and secondary care records</t>
  </si>
  <si>
    <t>https://doi.org/10.1016/j.lanepe.2024.101037</t>
  </si>
  <si>
    <t>pheno_33</t>
  </si>
  <si>
    <t>Included CVD diagnoses were ACS, HF, stroke/TIA, PAD, AA, and VTE. Associated CVD procedures were percutaneous coronary intervention, coronary artery bypass graft surgery, pacemaker/cardiac resynchronisation therapy, ventricular assist device/heart transplant, stroke thrombolysis/thrombectomy, carotid endarterectomy/stenting, cerebral aneurysm coiling, AA repair, peripheral limb angioplasty, limb revascularisation, bypass/amputation, and pulmonary artery embolectomy/embolisation.</t>
  </si>
  <si>
    <t>pheno_34</t>
  </si>
  <si>
    <t xml:space="preserve">Congestive heart failure </t>
  </si>
  <si>
    <t>https://github.com/BHFDSC/CCU020/blob/main/england/phenotypes/CCU020_chf_codelist.csv</t>
  </si>
  <si>
    <t>SNOMED</t>
  </si>
  <si>
    <t>https://heart.bmj.com/content/108/12/923</t>
  </si>
  <si>
    <t>pheno_35</t>
  </si>
  <si>
    <t>https://github.com/BHFDSC/CCU001_01/blob/feeab083c45d2caa9888f6451eff8eb530ea68ec/wales/Phenotypes/CCU001-01_codelist_READ.xlsx</t>
  </si>
  <si>
    <t>pheno_36</t>
  </si>
  <si>
    <t>https://github.com/BHFDSC/CCU030_01/blob/main/phenotypes/LTC%20phenotypes.csv</t>
  </si>
  <si>
    <t>An indicator of complex multimorbidity (hereafter called just ‘multimorbidity’ for brevity) was constructed as at least three of 36 conditions (including 35 commonly experienced LTCs and ID), of which at least one is physical, recorded in either primary or secondary care records within one year before the SARS-CoV-2 infection.</t>
  </si>
  <si>
    <t>https://doi.org/10.1186/s12889-023-16993-x</t>
  </si>
  <si>
    <t>pheno_37</t>
  </si>
  <si>
    <t xml:space="preserve">NICOR </t>
  </si>
  <si>
    <t>https://www.nicor.org.uk/~documents/route%3A/download/3650</t>
  </si>
  <si>
    <t xml:space="preserve">ICD10 </t>
  </si>
  <si>
    <t>The National Heart Failure Audit collects data on all patients with an unscheduled admission
to hospital in England and Wales who have a death or discharge with a diagnosis of heart
failure in the primary position (i.e. heart failure is the main condition treated or investigated
during the episode of care) with the following ICD-10 codes:
• I11.0 Hypertensive heart disease with (congestive) heart failure
• I25.5 Ischaemic cardiomyopathy
• I42.0 Dilated cardiomyopathy
• I42.9 Cardiomyopathy, unspecified
• I50.0 Congestive heart failure
• I50.1 Left ventricular failure
• I50.9 Heart failure, unspecified.
Patients admitted for elective procedures, for example elective pacemaker implantation or
angiography, are not included. Patients must be 18-years and over to be eligible for
inclusion in the audit.</t>
  </si>
  <si>
    <t>Patients admitted for elective procedures, for example elective pacemaker implantation or
angiography, are not included. Patients must be 18-years and over to be eligible for
inclusion in the audit.</t>
  </si>
  <si>
    <t>Primary care</t>
  </si>
  <si>
    <t>Secondary care</t>
  </si>
  <si>
    <t>Registry</t>
  </si>
  <si>
    <t>Mortality</t>
  </si>
  <si>
    <t>Prescribing/Dispensing</t>
  </si>
  <si>
    <t>Yes, CPRD GOLD</t>
  </si>
  <si>
    <t>Yes, HES APC FOR CPRD GOLD</t>
  </si>
  <si>
    <t>Yes, ONS (Civil registrations of death)</t>
  </si>
  <si>
    <t>Yes, CPRD</t>
  </si>
  <si>
    <t>Yes, GDPPR</t>
  </si>
  <si>
    <t>Yes, HES APC</t>
  </si>
  <si>
    <t xml:space="preserve">Yes, CPRD </t>
  </si>
  <si>
    <t xml:space="preserve">Yes, HES APC </t>
  </si>
  <si>
    <t>NHS BSA Dispensed Medicines</t>
  </si>
  <si>
    <t>Yes, primary care records through OpenSafely</t>
  </si>
  <si>
    <t>Yes, RCGP RSC database</t>
  </si>
  <si>
    <t>Yes, General Practice Monthly/Daily COVID (Welsh primary care)</t>
  </si>
  <si>
    <t>Total number of phenotypes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</si>
</sst>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b/>
      <sz val="11"/>
      <color rgb="FF000000"/>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4"/>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1">
    <xf numFmtId="0" fontId="0" fillId="0" borderId="0" xfId="0"/>
    <xf numFmtId="0" fontId="1" fillId="0" borderId="0" xfId="0" applyFont="1"/>
    <xf numFmtId="0" fontId="0" fillId="0" borderId="0" xfId="0" applyAlignment="1">
      <alignment vertical="top" wrapText="1"/>
    </xf>
    <xf numFmtId="0" fontId="3" fillId="0" borderId="0" xfId="1" applyFont="1" applyAlignment="1">
      <alignment vertical="top" wrapText="1"/>
    </xf>
    <xf numFmtId="0" fontId="0" fillId="0" borderId="0" xfId="0" applyAlignment="1">
      <alignment vertical="top"/>
    </xf>
    <xf numFmtId="0" fontId="2" fillId="0" borderId="0" xfId="1" applyAlignment="1">
      <alignment vertical="top"/>
    </xf>
    <xf numFmtId="0" fontId="3" fillId="0" borderId="0" xfId="1" applyFont="1" applyAlignment="1">
      <alignment vertical="top"/>
    </xf>
    <xf numFmtId="0" fontId="3" fillId="0" borderId="0" xfId="0" applyFont="1" applyAlignment="1">
      <alignment vertical="top"/>
    </xf>
    <xf numFmtId="0" fontId="0" fillId="0" borderId="0" xfId="0" applyAlignment="1">
      <alignment horizontal="right" vertical="top"/>
    </xf>
    <xf numFmtId="0" fontId="0" fillId="0" borderId="0" xfId="0" applyAlignment="1">
      <alignment wrapText="1"/>
    </xf>
    <xf numFmtId="0" fontId="2" fillId="0" borderId="0" xfId="1" applyFill="1" applyAlignment="1"/>
    <xf numFmtId="0" fontId="4" fillId="3" borderId="0" xfId="0" applyFont="1" applyFill="1" applyAlignment="1">
      <alignment vertical="top"/>
    </xf>
    <xf numFmtId="0" fontId="0" fillId="2" borderId="0" xfId="0" applyFill="1" applyAlignment="1">
      <alignment vertical="top"/>
    </xf>
    <xf numFmtId="0" fontId="3" fillId="2" borderId="0" xfId="1" applyFont="1" applyFill="1" applyAlignment="1">
      <alignment vertical="top"/>
    </xf>
    <xf numFmtId="0" fontId="2" fillId="2" borderId="0" xfId="1" applyFill="1" applyAlignment="1">
      <alignment vertical="top"/>
    </xf>
    <xf numFmtId="14" fontId="0" fillId="2" borderId="0" xfId="0" quotePrefix="1" applyNumberFormat="1" applyFill="1" applyAlignment="1">
      <alignment horizontal="right" vertical="top"/>
    </xf>
    <xf numFmtId="0" fontId="0" fillId="2" borderId="0" xfId="0" applyFill="1" applyAlignment="1">
      <alignment horizontal="right" vertical="top"/>
    </xf>
    <xf numFmtId="0" fontId="4" fillId="3" borderId="0" xfId="0" applyFont="1" applyFill="1" applyAlignment="1">
      <alignment vertical="top" wrapText="1"/>
    </xf>
    <xf numFmtId="0" fontId="0" fillId="0" borderId="0" xfId="0" applyFill="1" applyAlignment="1">
      <alignment vertical="top"/>
    </xf>
    <xf numFmtId="0" fontId="2" fillId="0" borderId="0" xfId="1" applyFill="1" applyAlignment="1">
      <alignment vertical="top"/>
    </xf>
    <xf numFmtId="0" fontId="0" fillId="0" borderId="0" xfId="0" applyFill="1" applyAlignment="1">
      <alignment vertical="top" wrapText="1"/>
    </xf>
  </cellXfs>
  <cellStyles count="2">
    <cellStyle name="Hyperlink" xfId="1" builtinId="8"/>
    <cellStyle name="Normal" xfId="0" builtinId="0"/>
  </cellStyles>
  <dxfs count="28">
    <dxf>
      <fill>
        <patternFill patternType="none"/>
      </fill>
      <alignment horizontal="general" vertical="bottom" textRotation="0" wrapText="0" indent="0" justifyLastLine="0" shrinkToFit="0" readingOrder="0"/>
    </dxf>
    <dxf>
      <fill>
        <patternFill patternType="none"/>
      </fill>
      <alignment horizontal="general" vertical="bottom" textRotation="0" wrapText="0" indent="0" justifyLastLine="0" shrinkToFit="0" readingOrder="0"/>
    </dxf>
    <dxf>
      <fill>
        <patternFill patternType="none"/>
      </fill>
      <alignment horizontal="general" vertical="bottom" textRotation="0" wrapText="0" indent="0" justifyLastLine="0" shrinkToFit="0" readingOrder="0"/>
    </dxf>
    <dxf>
      <fill>
        <patternFill patternType="none"/>
      </fill>
      <alignment horizontal="general" vertical="bottom" textRotation="0" wrapText="0" indent="0" justifyLastLine="0" shrinkToFit="0" readingOrder="0"/>
    </dxf>
    <dxf>
      <fill>
        <patternFill patternType="none"/>
      </fill>
      <alignment horizontal="general" vertical="bottom" textRotation="0" wrapText="0" indent="0" justifyLastLine="0" shrinkToFit="0" readingOrder="0"/>
    </dxf>
    <dxf>
      <fill>
        <patternFill patternType="none"/>
      </fill>
      <alignment horizontal="general" vertical="bottom" textRotation="0" wrapText="0" indent="0" justifyLastLine="0" shrinkToFit="0" readingOrder="0"/>
    </dxf>
    <dxf>
      <fill>
        <patternFill patternType="none"/>
      </fill>
      <alignment wrapText="0"/>
    </dxf>
    <dxf>
      <fill>
        <patternFill patternType="none"/>
      </fill>
      <alignment wrapText="1"/>
    </dxf>
    <dxf>
      <fill>
        <patternFill patternType="none"/>
      </fill>
      <alignment wrapText="0"/>
    </dxf>
    <dxf>
      <font>
        <b/>
        <i val="0"/>
        <strike val="0"/>
        <condense val="0"/>
        <extend val="0"/>
        <outline val="0"/>
        <shadow val="0"/>
        <u val="none"/>
        <vertAlign val="baseline"/>
        <sz val="11"/>
        <color rgb="FF000000"/>
        <name val="Calibri"/>
        <family val="2"/>
        <scheme val="minor"/>
      </font>
      <fill>
        <patternFill patternType="solid">
          <fgColor indexed="64"/>
          <bgColor theme="4"/>
        </patternFill>
      </fill>
      <alignment horizontal="general" vertical="top" textRotation="0" wrapText="0" indent="0" justifyLastLine="0" shrinkToFit="0" readingOrder="0"/>
    </dxf>
    <dxf>
      <alignment vertical="top" wrapText="0"/>
    </dxf>
    <dxf>
      <alignment vertical="top" wrapText="0"/>
    </dxf>
    <dxf>
      <alignment horizontal="general" vertical="top" textRotation="0" wrapText="0" indent="0" justifyLastLine="0" shrinkToFit="0" readingOrder="0"/>
    </dxf>
    <dxf>
      <alignment vertical="top" wrapText="0"/>
    </dxf>
    <dxf>
      <alignment horizontal="general" vertical="top" textRotation="0" wrapText="1" indent="0" justifyLastLine="0" shrinkToFit="0" readingOrder="0"/>
    </dxf>
    <dxf>
      <alignment vertical="top" wrapText="0"/>
    </dxf>
    <dxf>
      <alignment vertical="top" wrapText="0"/>
    </dxf>
    <dxf>
      <alignment horizontal="general" vertical="top" textRotation="0" wrapText="1" indent="0" justifyLastLine="0" shrinkToFit="0" readingOrder="0"/>
    </dxf>
    <dxf>
      <alignment vertical="top" wrapText="0"/>
    </dxf>
    <dxf>
      <alignment vertical="top" wrapText="0"/>
    </dxf>
    <dxf>
      <alignment vertical="top" wrapText="0"/>
    </dxf>
    <dxf>
      <alignment vertical="top" wrapText="0"/>
    </dxf>
    <dxf>
      <alignment vertical="top" wrapText="0"/>
    </dxf>
    <dxf>
      <alignment vertical="top" wrapText="0"/>
    </dxf>
    <dxf>
      <alignment vertical="top" wrapText="0"/>
    </dxf>
    <dxf>
      <alignment vertical="top" wrapText="0"/>
    </dxf>
    <dxf>
      <alignment vertical="top" wrapText="0"/>
    </dxf>
    <dxf>
      <font>
        <b/>
        <i val="0"/>
        <strike val="0"/>
        <condense val="0"/>
        <extend val="0"/>
        <outline val="0"/>
        <shadow val="0"/>
        <u val="none"/>
        <vertAlign val="baseline"/>
        <sz val="11"/>
        <color rgb="FF000000"/>
        <name val="Calibri"/>
        <family val="2"/>
        <scheme val="minor"/>
      </font>
      <fill>
        <patternFill patternType="solid">
          <fgColor indexed="64"/>
          <bgColor theme="4"/>
        </patternFill>
      </fill>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9AD195-8E06-4C48-9BE2-51EBF40C00D2}" name="Table2" displayName="Table2" ref="A1:P36" totalsRowShown="0" headerRowDxfId="27" dataDxfId="26">
  <autoFilter ref="A1:P36" xr:uid="{0E9AD195-8E06-4C48-9BE2-51EBF40C00D2}"/>
  <tableColumns count="16">
    <tableColumn id="1" xr3:uid="{734A77D5-C8D8-494A-A49E-261E7C8699C2}" name="Label" dataDxfId="25"/>
    <tableColumn id="2" xr3:uid="{D9146EF2-F0A0-4BC8-AB07-54EF057D412F}" name="Phenotype name" dataDxfId="24"/>
    <tableColumn id="4" xr3:uid="{04BD58AA-2567-41F0-8E55-4C0D73C1B156}" name="Repository/location" dataDxfId="23"/>
    <tableColumn id="6" xr3:uid="{084D1719-799F-427D-8EA4-DA49C36966BC}" name="Accession ID/URL/repository link" dataDxfId="22" dataCellStyle="Hyperlink"/>
    <tableColumn id="7" xr3:uid="{BD827EEE-297E-4A7C-A2A2-9A3643C33071}" name="Version " dataDxfId="21"/>
    <tableColumn id="8" xr3:uid="{495A2467-998E-4042-82A0-CF0E9C4942C2}" name="Github link" dataDxfId="20" dataCellStyle="Hyperlink"/>
    <tableColumn id="11" xr3:uid="{A8FFDEA7-ECC9-4A6D-A294-399C18BE2AC2}" name="Coding terminology used" dataDxfId="19"/>
    <tableColumn id="18" xr3:uid="{84D008B3-7652-49B1-8935-F7BA8AF3E3BA}" name="All coding terminologies available within NHS SDE?" dataDxfId="18" dataCellStyle="Hyperlink"/>
    <tableColumn id="13" xr3:uid="{B73EB45D-ECC2-4831-A462-E6590DDD0A13}" name="Further detail of phenotype definition" dataDxfId="17"/>
    <tableColumn id="10" xr3:uid="{9482CEDE-A099-49D8-8CA4-782577883909}" name="Inclusion/exclusion criteria of phenotype definition" dataDxfId="16"/>
    <tableColumn id="12" xr3:uid="{9790ACB5-838A-4821-8720-1D2A3B9C8D68}" name="Publication DOI" dataDxfId="15" dataCellStyle="Hyperlink"/>
    <tableColumn id="3" xr3:uid="{D78A0D35-9CA5-442E-8EEF-BFC28304E674}" name="All coding terminologies required?" dataDxfId="14"/>
    <tableColumn id="14" xr3:uid="{67E69387-27C2-4AD2-85DC-FD03644DDD81}" name="Phenoflow information available?" dataDxfId="13"/>
    <tableColumn id="19" xr3:uid="{6BF12B79-26A9-4FAF-BB10-4C2CAB7542DC}" name="Reason for exclusion" dataDxfId="12"/>
    <tableColumn id="15" xr3:uid="{53FC474C-477E-4610-8956-44EDB5DD4D7A}" name="Creator name" dataDxfId="11"/>
    <tableColumn id="16" xr3:uid="{6B30195A-6083-4141-82A9-1D3CE5CA9062}" name="Creator email" dataDxfId="1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72233A-F00C-434C-A657-AA349DFA12B1}" name="Table24" displayName="Table24" ref="A1:H36" totalsRowShown="0" headerRowDxfId="9" dataDxfId="8">
  <autoFilter ref="A1:H36" xr:uid="{0172233A-F00C-434C-A657-AA349DFA12B1}"/>
  <tableColumns count="8">
    <tableColumn id="1" xr3:uid="{49F24B60-6E9C-4191-9493-D4D7EBD6203D}" name="Label" dataDxfId="7"/>
    <tableColumn id="2" xr3:uid="{7425290A-DED5-4F57-ADC1-10D629F5A158}" name="Phenotype name" dataDxfId="6"/>
    <tableColumn id="6" xr3:uid="{E86DF612-9127-4BF3-8C01-B8DFF4B57D1C}" name="Accession ID/URL/repository link" dataDxfId="5" dataCellStyle="Hyperlink"/>
    <tableColumn id="5" xr3:uid="{9994FBD6-2700-4617-9819-4E453746057C}" name="Primary care" dataDxfId="4"/>
    <tableColumn id="17" xr3:uid="{8CF1D97F-F033-4391-BA74-C06C6AB7D5A0}" name="Secondary care" dataDxfId="3"/>
    <tableColumn id="20" xr3:uid="{4BBE803A-0169-499F-B5DB-0420A44FF8F1}" name="Registry" dataDxfId="2"/>
    <tableColumn id="21" xr3:uid="{194C1C04-FF97-45F7-A3D1-D5844DB80E36}" name="Mortality" dataDxfId="1"/>
    <tableColumn id="22" xr3:uid="{B38057BB-7876-4662-94BC-64F8AFF8BC4C}" name="Prescribing/Dispensing"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github.com/BHFDSC/CCU014_01" TargetMode="External"/><Relationship Id="rId18" Type="http://schemas.openxmlformats.org/officeDocument/2006/relationships/hyperlink" Target="https://doi.org/10.1038/s41467-024-49634-x" TargetMode="External"/><Relationship Id="rId26" Type="http://schemas.openxmlformats.org/officeDocument/2006/relationships/hyperlink" Target="https://www.opencodelists.org/codelist/opensafely/incident-heart-failure/07a6c89f/" TargetMode="External"/><Relationship Id="rId39" Type="http://schemas.openxmlformats.org/officeDocument/2006/relationships/hyperlink" Target="https://doi.org/10.1016/j.lanepe.2024.101037" TargetMode="External"/><Relationship Id="rId21" Type="http://schemas.openxmlformats.org/officeDocument/2006/relationships/hyperlink" Target="https://www.opencodelists.org/codelist/opensafely/heart-failure/2020-05-05/" TargetMode="External"/><Relationship Id="rId34" Type="http://schemas.openxmlformats.org/officeDocument/2006/relationships/hyperlink" Target="https://github.com/BHFDSC/CCU035_01/blob/cd53aaaabe76b1592732a864f42f3f282f7bd0e8/code/CCU035_01-D01-codelist.py" TargetMode="External"/><Relationship Id="rId42" Type="http://schemas.openxmlformats.org/officeDocument/2006/relationships/hyperlink" Target="https://doi.org/10.1093/ehjqcco/qcac077" TargetMode="External"/><Relationship Id="rId47" Type="http://schemas.openxmlformats.org/officeDocument/2006/relationships/hyperlink" Target="https://github.com/BHFDSC/CCU030_01/blob/main/phenotypes/LTC%20phenotypes.csv" TargetMode="External"/><Relationship Id="rId50" Type="http://schemas.openxmlformats.org/officeDocument/2006/relationships/hyperlink" Target="https://heart.bmj.com/content/108/12/923" TargetMode="External"/><Relationship Id="rId55" Type="http://schemas.openxmlformats.org/officeDocument/2006/relationships/hyperlink" Target="https://doi.org/10.1007/s00125-014-3473-8" TargetMode="External"/><Relationship Id="rId7" Type="http://schemas.openxmlformats.org/officeDocument/2006/relationships/hyperlink" Target="https://github.com/BHFDSC/CCU002_02/blob/main/phenotypes/phenotypes.csv" TargetMode="External"/><Relationship Id="rId2" Type="http://schemas.openxmlformats.org/officeDocument/2006/relationships/hyperlink" Target="https://doi.org/10.1186/s12874-019-0753-5" TargetMode="External"/><Relationship Id="rId16" Type="http://schemas.openxmlformats.org/officeDocument/2006/relationships/hyperlink" Target="https://github.com/BHFDSC/CCU003_04/blob/main/england/phenotypes/Code%20lists.docx" TargetMode="External"/><Relationship Id="rId29" Type="http://schemas.openxmlformats.org/officeDocument/2006/relationships/hyperlink" Target="https://github.com/BHFDSC/CCU003_03/tree/main/phenotypes" TargetMode="External"/><Relationship Id="rId11" Type="http://schemas.openxmlformats.org/officeDocument/2006/relationships/hyperlink" Target="https://doi.org/10.1093/aje/kwq433" TargetMode="External"/><Relationship Id="rId24" Type="http://schemas.openxmlformats.org/officeDocument/2006/relationships/hyperlink" Target="https://www.opencodelists.org/codelist/bristol/multimorbidity_heart-failure/4c00a3c7/" TargetMode="External"/><Relationship Id="rId32" Type="http://schemas.openxmlformats.org/officeDocument/2006/relationships/hyperlink" Target="https://github.com/BHFDSC/CCU045_02/blob/main/phenotypes/chronic_medical_conditions/01_codelist_heart_failure.csv" TargetMode="External"/><Relationship Id="rId37" Type="http://schemas.openxmlformats.org/officeDocument/2006/relationships/hyperlink" Target="https://github.com/BHFDSC/CCU018_01/blob/23082697ab94a2d304c09043713cd1d2cebf6808/england/code/CCU018_01-D02-codelist.py" TargetMode="External"/><Relationship Id="rId40" Type="http://schemas.openxmlformats.org/officeDocument/2006/relationships/hyperlink" Target="https://github.com/BHFDSC/CCU003_04/blob/main/england/phenotypes/Code%20lists.docx" TargetMode="External"/><Relationship Id="rId45" Type="http://schemas.openxmlformats.org/officeDocument/2006/relationships/hyperlink" Target="https://github.com/BHFDSC/CCU001_01/blob/feeab083c45d2caa9888f6451eff8eb530ea68ec/wales/Phenotypes/CCU001-01_codelist_READ.xlsx" TargetMode="External"/><Relationship Id="rId53" Type="http://schemas.openxmlformats.org/officeDocument/2006/relationships/hyperlink" Target="https://doi.org/10.1002/ejhf.709" TargetMode="External"/><Relationship Id="rId5" Type="http://schemas.openxmlformats.org/officeDocument/2006/relationships/hyperlink" Target="https://doi.org/10.1101/2020.04.24.20078006" TargetMode="External"/><Relationship Id="rId10" Type="http://schemas.openxmlformats.org/officeDocument/2006/relationships/hyperlink" Target="https://doi.org/10.1161/circulationaha.122.060785" TargetMode="External"/><Relationship Id="rId19" Type="http://schemas.openxmlformats.org/officeDocument/2006/relationships/hyperlink" Target="https://www.opencodelists.org/codelist/pincer/hf/v1.8/" TargetMode="External"/><Relationship Id="rId31" Type="http://schemas.openxmlformats.org/officeDocument/2006/relationships/hyperlink" Target="https://github.com/BHFDSC/CCU045_02/blob/main/phenotypes/chronic_medical_conditions/01_codelist_heart_failure.csv" TargetMode="External"/><Relationship Id="rId44" Type="http://schemas.openxmlformats.org/officeDocument/2006/relationships/hyperlink" Target="https://github.com/BHFDSC/CCU020/blob/main/england/phenotypes/CCU020_chf_codelist.csv" TargetMode="External"/><Relationship Id="rId52" Type="http://schemas.openxmlformats.org/officeDocument/2006/relationships/hyperlink" Target="https://github.com/BHFDSC/CCU002_06/blob/main/phenotypes/CCU002_06_codelists.csv" TargetMode="External"/><Relationship Id="rId4" Type="http://schemas.openxmlformats.org/officeDocument/2006/relationships/hyperlink" Target="https://bmjopen.bmj.com/content/5/12/e009010" TargetMode="External"/><Relationship Id="rId9" Type="http://schemas.openxmlformats.org/officeDocument/2006/relationships/hyperlink" Target="https://doi.org/10.1371/journal.pmed.1003926" TargetMode="External"/><Relationship Id="rId14" Type="http://schemas.openxmlformats.org/officeDocument/2006/relationships/hyperlink" Target="https://doi.org/10.1101/2022.03.06.21267462" TargetMode="External"/><Relationship Id="rId22" Type="http://schemas.openxmlformats.org/officeDocument/2006/relationships/hyperlink" Target="https://www.opencodelists.org/codelist/opensafely/incident-heart-failure-1/3c06f7bc/" TargetMode="External"/><Relationship Id="rId27" Type="http://schemas.openxmlformats.org/officeDocument/2006/relationships/hyperlink" Target="https://www.opencodelists.org/codelist/nhsd-primary-care-domain-refsets/hflvsd_cod/20241205/" TargetMode="External"/><Relationship Id="rId30" Type="http://schemas.openxmlformats.org/officeDocument/2006/relationships/hyperlink" Target="https://doi.org/10.1177/01410768221131897" TargetMode="External"/><Relationship Id="rId35" Type="http://schemas.openxmlformats.org/officeDocument/2006/relationships/hyperlink" Target="https://github.com/BHFDSC/CCU035_01/blob/cd53aaaabe76b1592732a864f42f3f282f7bd0e8/code/CCU035_01-D01-codelist.py" TargetMode="External"/><Relationship Id="rId43" Type="http://schemas.openxmlformats.org/officeDocument/2006/relationships/hyperlink" Target="https://github.com/BHFDSC/CCU020/blob/main/england/phenotypes/CCU020_chf_codelist.csv" TargetMode="External"/><Relationship Id="rId48" Type="http://schemas.openxmlformats.org/officeDocument/2006/relationships/hyperlink" Target="https://github.com/BHFDSC/CCU030_01/blob/main/phenotypes/LTC%20phenotypes.csv" TargetMode="External"/><Relationship Id="rId56" Type="http://schemas.openxmlformats.org/officeDocument/2006/relationships/table" Target="../tables/table1.xml"/><Relationship Id="rId8" Type="http://schemas.openxmlformats.org/officeDocument/2006/relationships/hyperlink" Target="https://github.com/BHFDSC/CCU002_01/blob/main/england/phenotypes/CCU002_01_phenotypes.csv" TargetMode="External"/><Relationship Id="rId51" Type="http://schemas.openxmlformats.org/officeDocument/2006/relationships/hyperlink" Target="https://www.nicor.org.uk/~documents/route%3A/download/3650" TargetMode="External"/><Relationship Id="rId3" Type="http://schemas.openxmlformats.org/officeDocument/2006/relationships/hyperlink" Target="https://bmjopen.bmj.com/content/5/12/e008650" TargetMode="External"/><Relationship Id="rId12" Type="http://schemas.openxmlformats.org/officeDocument/2006/relationships/hyperlink" Target="https://doi.org/10.1038/s41591-022-02158-7" TargetMode="External"/><Relationship Id="rId17" Type="http://schemas.openxmlformats.org/officeDocument/2006/relationships/hyperlink" Target="https://github.com/BHFDSC/CCU002_03/blob/main/england/phenotypes/ccu002_03_codelists.csv" TargetMode="External"/><Relationship Id="rId25" Type="http://schemas.openxmlformats.org/officeDocument/2006/relationships/hyperlink" Target="https://doi.org/10.3399/BJGP.2022.0235" TargetMode="External"/><Relationship Id="rId33" Type="http://schemas.openxmlformats.org/officeDocument/2006/relationships/hyperlink" Target="https://doi.org/10.1016/S2468-2667(24)00215-9" TargetMode="External"/><Relationship Id="rId38" Type="http://schemas.openxmlformats.org/officeDocument/2006/relationships/hyperlink" Target="https://github.com/BHFDSC/CCU018_01/blob/23082697ab94a2d304c09043713cd1d2cebf6808/england/code/CCU018_01-D02-codelist.py" TargetMode="External"/><Relationship Id="rId46" Type="http://schemas.openxmlformats.org/officeDocument/2006/relationships/hyperlink" Target="https://github.com/BHFDSC/CCU001_01/blob/feeab083c45d2caa9888f6451eff8eb530ea68ec/wales/Phenotypes/CCU001-01_codelist_READ.xlsx" TargetMode="External"/><Relationship Id="rId20" Type="http://schemas.openxmlformats.org/officeDocument/2006/relationships/hyperlink" Target="https://www.opencodelists.org/codelist/nhsd-primary-care-domain-refsets/hf_cod/20241205/" TargetMode="External"/><Relationship Id="rId41" Type="http://schemas.openxmlformats.org/officeDocument/2006/relationships/hyperlink" Target="https://github.com/BHFDSC/CCU003_04/blob/main/england/phenotypes/Code%20lists.docx" TargetMode="External"/><Relationship Id="rId54" Type="http://schemas.openxmlformats.org/officeDocument/2006/relationships/hyperlink" Target="https://doi.org/10.1186/s12874-019-0753-5" TargetMode="External"/><Relationship Id="rId1" Type="http://schemas.openxmlformats.org/officeDocument/2006/relationships/hyperlink" Target="https://doi.org/10.1016/S2589-7500(19)30012-3" TargetMode="External"/><Relationship Id="rId6" Type="http://schemas.openxmlformats.org/officeDocument/2006/relationships/hyperlink" Target="https://doi.org/10.1136/bmj.h5501" TargetMode="External"/><Relationship Id="rId15" Type="http://schemas.openxmlformats.org/officeDocument/2006/relationships/hyperlink" Target="https://doi.org/10.1093/ehjqcco/qcac077" TargetMode="External"/><Relationship Id="rId23" Type="http://schemas.openxmlformats.org/officeDocument/2006/relationships/hyperlink" Target="https://www.opencodelists.org/codelist/nhsd-primary-care-domain-refsets/redejcfrac_cod/20241205/" TargetMode="External"/><Relationship Id="rId28" Type="http://schemas.openxmlformats.org/officeDocument/2006/relationships/hyperlink" Target="https://github.com/BHFDSC/CCU003_03/blob/main/phenotypes/Heart_failure.csv" TargetMode="External"/><Relationship Id="rId36" Type="http://schemas.openxmlformats.org/officeDocument/2006/relationships/hyperlink" Target="https://doi.org/10.1093/ije/dyae068" TargetMode="External"/><Relationship Id="rId49" Type="http://schemas.openxmlformats.org/officeDocument/2006/relationships/hyperlink" Target="https://doi.org/10.1186/s12889-023-16993-x"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opencodelists.org/codelist/nhsd-primary-care-domain-refsets/hflvsd_cod/20241205/" TargetMode="External"/><Relationship Id="rId13" Type="http://schemas.openxmlformats.org/officeDocument/2006/relationships/hyperlink" Target="https://github.com/BHFDSC/CCU003_04/blob/main/england/phenotypes/Code%20lists.docx" TargetMode="External"/><Relationship Id="rId18" Type="http://schemas.openxmlformats.org/officeDocument/2006/relationships/table" Target="../tables/table2.xml"/><Relationship Id="rId3" Type="http://schemas.openxmlformats.org/officeDocument/2006/relationships/hyperlink" Target="https://www.opencodelists.org/codelist/opensafely/heart-failure/2020-05-05/" TargetMode="External"/><Relationship Id="rId7" Type="http://schemas.openxmlformats.org/officeDocument/2006/relationships/hyperlink" Target="https://www.opencodelists.org/codelist/opensafely/incident-heart-failure/07a6c89f/" TargetMode="External"/><Relationship Id="rId12" Type="http://schemas.openxmlformats.org/officeDocument/2006/relationships/hyperlink" Target="https://github.com/BHFDSC/CCU018_01/blob/23082697ab94a2d304c09043713cd1d2cebf6808/england/code/CCU018_01-D02-codelist.py" TargetMode="External"/><Relationship Id="rId17" Type="http://schemas.openxmlformats.org/officeDocument/2006/relationships/hyperlink" Target="https://www.nicor.org.uk/~documents/route%3A/download/3650" TargetMode="External"/><Relationship Id="rId2" Type="http://schemas.openxmlformats.org/officeDocument/2006/relationships/hyperlink" Target="https://www.opencodelists.org/codelist/nhsd-primary-care-domain-refsets/hf_cod/20241205/" TargetMode="External"/><Relationship Id="rId16" Type="http://schemas.openxmlformats.org/officeDocument/2006/relationships/hyperlink" Target="https://github.com/BHFDSC/CCU030_01/blob/main/phenotypes/LTC%20phenotypes.csv" TargetMode="External"/><Relationship Id="rId1" Type="http://schemas.openxmlformats.org/officeDocument/2006/relationships/hyperlink" Target="https://www.opencodelists.org/codelist/pincer/hf/v1.8/" TargetMode="External"/><Relationship Id="rId6" Type="http://schemas.openxmlformats.org/officeDocument/2006/relationships/hyperlink" Target="https://www.opencodelists.org/codelist/bristol/multimorbidity_heart-failure/4c00a3c7/" TargetMode="External"/><Relationship Id="rId11" Type="http://schemas.openxmlformats.org/officeDocument/2006/relationships/hyperlink" Target="https://github.com/BHFDSC/CCU035_01/blob/cd53aaaabe76b1592732a864f42f3f282f7bd0e8/code/CCU035_01-D01-codelist.py" TargetMode="External"/><Relationship Id="rId5" Type="http://schemas.openxmlformats.org/officeDocument/2006/relationships/hyperlink" Target="https://www.opencodelists.org/codelist/nhsd-primary-care-domain-refsets/redejcfrac_cod/20241205/" TargetMode="External"/><Relationship Id="rId15" Type="http://schemas.openxmlformats.org/officeDocument/2006/relationships/hyperlink" Target="https://github.com/BHFDSC/CCU001_01/blob/feeab083c45d2caa9888f6451eff8eb530ea68ec/wales/Phenotypes/CCU001-01_codelist_READ.xlsx" TargetMode="External"/><Relationship Id="rId10" Type="http://schemas.openxmlformats.org/officeDocument/2006/relationships/hyperlink" Target="https://github.com/BHFDSC/CCU045_02/blob/main/phenotypes/chronic_medical_conditions/01_codelist_heart_failure.csv" TargetMode="External"/><Relationship Id="rId4" Type="http://schemas.openxmlformats.org/officeDocument/2006/relationships/hyperlink" Target="https://www.opencodelists.org/codelist/opensafely/incident-heart-failure-1/3c06f7bc/" TargetMode="External"/><Relationship Id="rId9" Type="http://schemas.openxmlformats.org/officeDocument/2006/relationships/hyperlink" Target="https://github.com/BHFDSC/CCU003_03/blob/main/phenotypes/Heart_failure.csv" TargetMode="External"/><Relationship Id="rId14" Type="http://schemas.openxmlformats.org/officeDocument/2006/relationships/hyperlink" Target="https://github.com/BHFDSC/CCU020/blob/main/england/phenotypes/CCU020_chf_codelist.cs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52BDF-C640-4448-860A-84537D2AA318}">
  <dimension ref="A1:B9"/>
  <sheetViews>
    <sheetView workbookViewId="0">
      <selection activeCell="B8" sqref="B8"/>
    </sheetView>
  </sheetViews>
  <sheetFormatPr defaultRowHeight="14.45"/>
  <cols>
    <col min="1" max="1" width="13.85546875" customWidth="1"/>
  </cols>
  <sheetData>
    <row r="1" spans="1:2">
      <c r="A1" s="1" t="s">
        <v>0</v>
      </c>
      <c r="B1" t="s">
        <v>1</v>
      </c>
    </row>
    <row r="2" spans="1:2">
      <c r="A2" s="1" t="s">
        <v>2</v>
      </c>
      <c r="B2" t="s">
        <v>3</v>
      </c>
    </row>
    <row r="3" spans="1:2">
      <c r="A3" s="1" t="s">
        <v>4</v>
      </c>
      <c r="B3" t="s">
        <v>5</v>
      </c>
    </row>
    <row r="5" spans="1:2">
      <c r="A5" t="s">
        <v>6</v>
      </c>
    </row>
    <row r="7" spans="1:2">
      <c r="A7" s="1" t="s">
        <v>7</v>
      </c>
      <c r="B7" s="1" t="s">
        <v>8</v>
      </c>
    </row>
    <row r="8" spans="1:2">
      <c r="A8" t="s">
        <v>9</v>
      </c>
      <c r="B8" t="s">
        <v>10</v>
      </c>
    </row>
    <row r="9" spans="1:2">
      <c r="A9" t="s">
        <v>11</v>
      </c>
      <c r="B9"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E18EA-CBEC-4388-B320-363EC60ACA67}">
  <dimension ref="A1:P39"/>
  <sheetViews>
    <sheetView tabSelected="1" topLeftCell="G1" workbookViewId="0">
      <selection activeCell="L15" sqref="L15"/>
    </sheetView>
  </sheetViews>
  <sheetFormatPr defaultColWidth="9.140625" defaultRowHeight="14.45"/>
  <cols>
    <col min="1" max="1" width="35.85546875" style="4" customWidth="1"/>
    <col min="2" max="2" width="66.5703125" style="4" customWidth="1"/>
    <col min="3" max="3" width="35" style="4" customWidth="1"/>
    <col min="4" max="4" width="48.28515625" style="4" customWidth="1"/>
    <col min="5" max="5" width="33.85546875" style="4" customWidth="1"/>
    <col min="6" max="6" width="91" style="4" customWidth="1"/>
    <col min="7" max="7" width="63.42578125" style="4" customWidth="1"/>
    <col min="8" max="8" width="86.140625" style="4" customWidth="1"/>
    <col min="9" max="9" width="58" style="4" customWidth="1"/>
    <col min="10" max="10" width="52.140625" style="4" customWidth="1"/>
    <col min="11" max="11" width="47.85546875" style="4" customWidth="1"/>
    <col min="12" max="12" width="55.28515625" style="4" customWidth="1"/>
    <col min="13" max="13" width="35.140625" style="4" customWidth="1"/>
    <col min="14" max="14" width="90.42578125" style="4" customWidth="1"/>
    <col min="15" max="15" width="30.7109375" style="4" bestFit="1" customWidth="1"/>
    <col min="16" max="16" width="37" style="4" customWidth="1"/>
    <col min="17" max="16384" width="9.140625" style="4"/>
  </cols>
  <sheetData>
    <row r="1" spans="1:16" s="7" customFormat="1" ht="27.75" customHeight="1">
      <c r="A1" s="11" t="s">
        <v>13</v>
      </c>
      <c r="B1" s="11" t="s">
        <v>14</v>
      </c>
      <c r="C1" s="11" t="s">
        <v>15</v>
      </c>
      <c r="D1" s="11" t="s">
        <v>16</v>
      </c>
      <c r="E1" s="11" t="s">
        <v>17</v>
      </c>
      <c r="F1" s="11" t="s">
        <v>18</v>
      </c>
      <c r="G1" s="11" t="s">
        <v>19</v>
      </c>
      <c r="H1" s="11" t="s">
        <v>20</v>
      </c>
      <c r="I1" s="11" t="s">
        <v>21</v>
      </c>
      <c r="J1" s="11" t="s">
        <v>22</v>
      </c>
      <c r="K1" s="11" t="s">
        <v>23</v>
      </c>
      <c r="L1" s="11" t="s">
        <v>24</v>
      </c>
      <c r="M1" s="11" t="s">
        <v>25</v>
      </c>
      <c r="N1" s="11" t="s">
        <v>26</v>
      </c>
      <c r="O1" s="11" t="s">
        <v>27</v>
      </c>
      <c r="P1" s="11" t="s">
        <v>28</v>
      </c>
    </row>
    <row r="2" spans="1:16" ht="198">
      <c r="A2" s="4" t="s">
        <v>29</v>
      </c>
      <c r="B2" s="4" t="s">
        <v>30</v>
      </c>
      <c r="C2" s="4" t="s">
        <v>31</v>
      </c>
      <c r="D2" s="4" t="s">
        <v>32</v>
      </c>
      <c r="E2" s="6">
        <v>364</v>
      </c>
      <c r="F2" s="4" t="s">
        <v>33</v>
      </c>
      <c r="G2" s="4" t="s">
        <v>34</v>
      </c>
      <c r="H2" s="4" t="s">
        <v>35</v>
      </c>
      <c r="I2" s="3" t="s">
        <v>36</v>
      </c>
      <c r="J2" s="4" t="s">
        <v>37</v>
      </c>
      <c r="K2" s="5" t="s">
        <v>38</v>
      </c>
      <c r="L2" s="3" t="s">
        <v>39</v>
      </c>
      <c r="M2" s="6" t="s">
        <v>40</v>
      </c>
      <c r="N2" s="4" t="s">
        <v>41</v>
      </c>
      <c r="O2" s="4" t="s">
        <v>42</v>
      </c>
    </row>
    <row r="3" spans="1:16" ht="244.5">
      <c r="A3" s="4" t="s">
        <v>43</v>
      </c>
      <c r="B3" s="4" t="s">
        <v>44</v>
      </c>
      <c r="C3" s="4" t="s">
        <v>31</v>
      </c>
      <c r="D3" s="4" t="s">
        <v>45</v>
      </c>
      <c r="E3" s="6">
        <v>2265</v>
      </c>
      <c r="F3" s="4" t="s">
        <v>33</v>
      </c>
      <c r="G3" s="4" t="s">
        <v>46</v>
      </c>
      <c r="H3" s="4" t="s">
        <v>35</v>
      </c>
      <c r="I3" s="2" t="s">
        <v>47</v>
      </c>
      <c r="J3" s="2" t="s">
        <v>48</v>
      </c>
      <c r="K3" s="5" t="s">
        <v>49</v>
      </c>
      <c r="L3" s="2" t="s">
        <v>50</v>
      </c>
      <c r="M3" s="4" t="s">
        <v>40</v>
      </c>
      <c r="N3" s="4" t="s">
        <v>41</v>
      </c>
      <c r="O3" s="4" t="s">
        <v>42</v>
      </c>
    </row>
    <row r="4" spans="1:16">
      <c r="A4" s="12" t="s">
        <v>51</v>
      </c>
      <c r="B4" s="12" t="s">
        <v>52</v>
      </c>
      <c r="C4" s="12" t="s">
        <v>31</v>
      </c>
      <c r="D4" s="12" t="s">
        <v>53</v>
      </c>
      <c r="E4" s="13">
        <v>2313</v>
      </c>
      <c r="F4" s="12" t="s">
        <v>33</v>
      </c>
      <c r="G4" s="12" t="s">
        <v>54</v>
      </c>
      <c r="H4" s="12" t="s">
        <v>40</v>
      </c>
      <c r="I4" s="13" t="s">
        <v>55</v>
      </c>
      <c r="J4" s="12" t="s">
        <v>37</v>
      </c>
      <c r="K4" s="14" t="s">
        <v>56</v>
      </c>
      <c r="L4" s="13" t="s">
        <v>57</v>
      </c>
      <c r="M4" s="12" t="s">
        <v>40</v>
      </c>
      <c r="N4" s="12" t="s">
        <v>58</v>
      </c>
      <c r="O4" s="12"/>
      <c r="P4" s="12"/>
    </row>
    <row r="5" spans="1:16">
      <c r="A5" s="12" t="s">
        <v>59</v>
      </c>
      <c r="B5" s="12" t="s">
        <v>60</v>
      </c>
      <c r="C5" s="12" t="s">
        <v>31</v>
      </c>
      <c r="D5" s="12" t="s">
        <v>61</v>
      </c>
      <c r="E5" s="13">
        <v>2351</v>
      </c>
      <c r="F5" s="12" t="s">
        <v>33</v>
      </c>
      <c r="G5" s="12" t="s">
        <v>54</v>
      </c>
      <c r="H5" s="12" t="s">
        <v>40</v>
      </c>
      <c r="I5" s="12" t="s">
        <v>55</v>
      </c>
      <c r="J5" s="12" t="s">
        <v>37</v>
      </c>
      <c r="K5" s="14" t="s">
        <v>56</v>
      </c>
      <c r="L5" s="12" t="s">
        <v>57</v>
      </c>
      <c r="M5" s="12" t="s">
        <v>40</v>
      </c>
      <c r="N5" s="12" t="s">
        <v>58</v>
      </c>
      <c r="O5" s="12"/>
      <c r="P5" s="12"/>
    </row>
    <row r="6" spans="1:16">
      <c r="A6" s="4" t="s">
        <v>62</v>
      </c>
      <c r="B6" s="4" t="s">
        <v>30</v>
      </c>
      <c r="C6" s="4" t="s">
        <v>31</v>
      </c>
      <c r="D6" s="4" t="s">
        <v>63</v>
      </c>
      <c r="E6" s="6">
        <v>3649</v>
      </c>
      <c r="F6" s="4" t="s">
        <v>33</v>
      </c>
      <c r="G6" s="4" t="s">
        <v>64</v>
      </c>
      <c r="H6" s="4" t="s">
        <v>65</v>
      </c>
      <c r="I6" s="4" t="s">
        <v>55</v>
      </c>
      <c r="J6" s="4" t="s">
        <v>37</v>
      </c>
      <c r="K6" s="4" t="s">
        <v>33</v>
      </c>
      <c r="L6" s="4" t="s">
        <v>66</v>
      </c>
      <c r="M6" s="4" t="s">
        <v>40</v>
      </c>
      <c r="N6" s="4" t="s">
        <v>41</v>
      </c>
      <c r="O6" s="4" t="s">
        <v>67</v>
      </c>
    </row>
    <row r="7" spans="1:16">
      <c r="A7" s="12" t="s">
        <v>68</v>
      </c>
      <c r="B7" s="12" t="s">
        <v>69</v>
      </c>
      <c r="C7" s="12" t="s">
        <v>31</v>
      </c>
      <c r="D7" s="12" t="s">
        <v>70</v>
      </c>
      <c r="E7" s="13">
        <v>1060</v>
      </c>
      <c r="F7" s="12" t="s">
        <v>33</v>
      </c>
      <c r="G7" s="12" t="s">
        <v>54</v>
      </c>
      <c r="H7" s="12" t="s">
        <v>40</v>
      </c>
      <c r="I7" s="12" t="s">
        <v>55</v>
      </c>
      <c r="J7" s="12" t="s">
        <v>37</v>
      </c>
      <c r="K7" s="14" t="s">
        <v>71</v>
      </c>
      <c r="L7" s="12" t="s">
        <v>57</v>
      </c>
      <c r="M7" s="12" t="s">
        <v>40</v>
      </c>
      <c r="N7" s="12" t="s">
        <v>58</v>
      </c>
      <c r="O7" s="12"/>
      <c r="P7" s="12"/>
    </row>
    <row r="8" spans="1:16">
      <c r="A8" s="12" t="s">
        <v>72</v>
      </c>
      <c r="B8" s="12" t="s">
        <v>30</v>
      </c>
      <c r="C8" s="12" t="s">
        <v>31</v>
      </c>
      <c r="D8" s="12" t="s">
        <v>73</v>
      </c>
      <c r="E8" s="13">
        <v>1062</v>
      </c>
      <c r="F8" s="12" t="s">
        <v>33</v>
      </c>
      <c r="G8" s="12" t="s">
        <v>74</v>
      </c>
      <c r="H8" s="12" t="s">
        <v>40</v>
      </c>
      <c r="I8" s="13" t="s">
        <v>55</v>
      </c>
      <c r="J8" s="12" t="s">
        <v>37</v>
      </c>
      <c r="K8" s="14" t="s">
        <v>75</v>
      </c>
      <c r="L8" s="13" t="s">
        <v>66</v>
      </c>
      <c r="M8" s="13" t="s">
        <v>40</v>
      </c>
      <c r="N8" s="12" t="s">
        <v>58</v>
      </c>
      <c r="O8" s="12" t="s">
        <v>42</v>
      </c>
      <c r="P8" s="12"/>
    </row>
    <row r="9" spans="1:16">
      <c r="A9" s="12" t="s">
        <v>76</v>
      </c>
      <c r="B9" s="12" t="s">
        <v>30</v>
      </c>
      <c r="C9" s="12" t="s">
        <v>31</v>
      </c>
      <c r="D9" s="12" t="s">
        <v>77</v>
      </c>
      <c r="E9" s="13">
        <v>1262</v>
      </c>
      <c r="F9" s="12" t="s">
        <v>33</v>
      </c>
      <c r="G9" s="12" t="s">
        <v>78</v>
      </c>
      <c r="H9" s="12" t="s">
        <v>40</v>
      </c>
      <c r="I9" s="13" t="s">
        <v>55</v>
      </c>
      <c r="J9" s="12" t="s">
        <v>37</v>
      </c>
      <c r="K9" s="14" t="s">
        <v>79</v>
      </c>
      <c r="L9" s="13" t="s">
        <v>66</v>
      </c>
      <c r="M9" s="13" t="s">
        <v>40</v>
      </c>
      <c r="N9" s="12" t="s">
        <v>58</v>
      </c>
      <c r="O9" s="12"/>
      <c r="P9" s="12"/>
    </row>
    <row r="10" spans="1:16" ht="229.5">
      <c r="A10" s="4" t="s">
        <v>80</v>
      </c>
      <c r="B10" s="4" t="s">
        <v>81</v>
      </c>
      <c r="C10" s="4" t="s">
        <v>31</v>
      </c>
      <c r="D10" s="4" t="s">
        <v>82</v>
      </c>
      <c r="E10" s="6">
        <v>50</v>
      </c>
      <c r="F10" s="4" t="s">
        <v>33</v>
      </c>
      <c r="G10" s="4" t="s">
        <v>83</v>
      </c>
      <c r="H10" s="4" t="s">
        <v>65</v>
      </c>
      <c r="I10" s="3" t="s">
        <v>84</v>
      </c>
      <c r="J10" s="4" t="s">
        <v>37</v>
      </c>
      <c r="K10" s="5" t="s">
        <v>85</v>
      </c>
      <c r="L10" s="3" t="s">
        <v>57</v>
      </c>
      <c r="M10" s="5"/>
      <c r="N10" s="4" t="s">
        <v>41</v>
      </c>
    </row>
    <row r="11" spans="1:16">
      <c r="A11" s="12" t="s">
        <v>86</v>
      </c>
      <c r="B11" s="12" t="s">
        <v>87</v>
      </c>
      <c r="C11" s="12" t="s">
        <v>31</v>
      </c>
      <c r="D11" s="12" t="s">
        <v>88</v>
      </c>
      <c r="E11" s="13">
        <v>1374</v>
      </c>
      <c r="F11" s="12" t="s">
        <v>33</v>
      </c>
      <c r="G11" s="12" t="s">
        <v>54</v>
      </c>
      <c r="H11" s="12" t="s">
        <v>40</v>
      </c>
      <c r="I11" s="13" t="s">
        <v>55</v>
      </c>
      <c r="J11" s="12" t="s">
        <v>37</v>
      </c>
      <c r="K11" s="14" t="s">
        <v>89</v>
      </c>
      <c r="L11" s="13" t="s">
        <v>57</v>
      </c>
      <c r="M11" s="13" t="s">
        <v>40</v>
      </c>
      <c r="N11" s="12" t="s">
        <v>58</v>
      </c>
      <c r="O11" s="12"/>
      <c r="P11" s="12"/>
    </row>
    <row r="12" spans="1:16">
      <c r="A12" s="4" t="s">
        <v>90</v>
      </c>
      <c r="B12" s="4" t="s">
        <v>91</v>
      </c>
      <c r="C12" s="4" t="s">
        <v>31</v>
      </c>
      <c r="D12" s="4" t="s">
        <v>92</v>
      </c>
      <c r="E12" s="6">
        <v>2146</v>
      </c>
      <c r="F12" s="5" t="s">
        <v>93</v>
      </c>
      <c r="G12" s="4" t="s">
        <v>94</v>
      </c>
      <c r="H12" s="4" t="s">
        <v>35</v>
      </c>
      <c r="I12" s="6" t="s">
        <v>55</v>
      </c>
      <c r="J12" s="6" t="s">
        <v>37</v>
      </c>
      <c r="K12" s="5" t="s">
        <v>95</v>
      </c>
      <c r="L12" s="6" t="s">
        <v>66</v>
      </c>
      <c r="M12" s="6" t="s">
        <v>40</v>
      </c>
      <c r="N12" s="4" t="s">
        <v>41</v>
      </c>
    </row>
    <row r="13" spans="1:16">
      <c r="A13" s="4" t="s">
        <v>96</v>
      </c>
      <c r="B13" s="4" t="s">
        <v>97</v>
      </c>
      <c r="C13" s="4" t="s">
        <v>31</v>
      </c>
      <c r="D13" s="4" t="s">
        <v>98</v>
      </c>
      <c r="E13" s="6">
        <v>2171</v>
      </c>
      <c r="F13" s="5" t="s">
        <v>99</v>
      </c>
      <c r="G13" s="4" t="s">
        <v>64</v>
      </c>
      <c r="H13" s="4" t="s">
        <v>65</v>
      </c>
      <c r="I13" s="6" t="s">
        <v>55</v>
      </c>
      <c r="J13" s="6" t="s">
        <v>37</v>
      </c>
      <c r="K13" s="5" t="s">
        <v>100</v>
      </c>
      <c r="L13" s="6" t="s">
        <v>66</v>
      </c>
      <c r="M13" s="6" t="s">
        <v>40</v>
      </c>
      <c r="N13" s="4" t="s">
        <v>41</v>
      </c>
    </row>
    <row r="14" spans="1:16" ht="137.25">
      <c r="A14" s="4" t="s">
        <v>101</v>
      </c>
      <c r="B14" s="4" t="s">
        <v>102</v>
      </c>
      <c r="C14" s="4" t="s">
        <v>31</v>
      </c>
      <c r="D14" s="4" t="s">
        <v>103</v>
      </c>
      <c r="E14" s="4">
        <v>3435</v>
      </c>
      <c r="F14" s="4" t="s">
        <v>33</v>
      </c>
      <c r="G14" s="4" t="s">
        <v>104</v>
      </c>
      <c r="H14" s="4" t="s">
        <v>65</v>
      </c>
      <c r="I14" s="3" t="s">
        <v>105</v>
      </c>
      <c r="J14" s="4" t="s">
        <v>37</v>
      </c>
      <c r="K14" s="5" t="s">
        <v>106</v>
      </c>
      <c r="L14" s="3" t="s">
        <v>57</v>
      </c>
      <c r="M14" s="6" t="s">
        <v>40</v>
      </c>
      <c r="N14" s="4" t="s">
        <v>41</v>
      </c>
    </row>
    <row r="15" spans="1:16" ht="183">
      <c r="A15" s="4" t="s">
        <v>107</v>
      </c>
      <c r="B15" s="4" t="s">
        <v>108</v>
      </c>
      <c r="C15" s="4" t="s">
        <v>31</v>
      </c>
      <c r="D15" s="4" t="s">
        <v>109</v>
      </c>
      <c r="E15" s="4">
        <v>3016</v>
      </c>
      <c r="F15" s="5" t="s">
        <v>110</v>
      </c>
      <c r="G15" s="4" t="s">
        <v>111</v>
      </c>
      <c r="H15" s="4" t="s">
        <v>65</v>
      </c>
      <c r="I15" s="3" t="s">
        <v>112</v>
      </c>
      <c r="J15" s="3" t="s">
        <v>113</v>
      </c>
      <c r="K15" s="5" t="s">
        <v>114</v>
      </c>
      <c r="L15" s="3" t="s">
        <v>57</v>
      </c>
      <c r="M15" s="6" t="s">
        <v>40</v>
      </c>
      <c r="N15" s="4" t="s">
        <v>41</v>
      </c>
    </row>
    <row r="16" spans="1:16">
      <c r="A16" s="4" t="s">
        <v>115</v>
      </c>
      <c r="B16" s="4" t="s">
        <v>30</v>
      </c>
      <c r="C16" s="4" t="s">
        <v>31</v>
      </c>
      <c r="D16" s="4" t="s">
        <v>116</v>
      </c>
      <c r="E16" s="4">
        <v>3681</v>
      </c>
      <c r="F16" s="5" t="s">
        <v>117</v>
      </c>
      <c r="G16" s="4" t="s">
        <v>64</v>
      </c>
      <c r="H16" s="4" t="s">
        <v>65</v>
      </c>
      <c r="I16" s="6" t="s">
        <v>55</v>
      </c>
      <c r="J16" s="4" t="s">
        <v>37</v>
      </c>
      <c r="K16" s="5" t="s">
        <v>118</v>
      </c>
      <c r="L16" s="6" t="s">
        <v>66</v>
      </c>
      <c r="M16" s="6" t="s">
        <v>40</v>
      </c>
      <c r="N16" s="4" t="s">
        <v>41</v>
      </c>
    </row>
    <row r="17" spans="1:16" ht="288">
      <c r="A17" s="4" t="s">
        <v>119</v>
      </c>
      <c r="B17" s="4" t="s">
        <v>30</v>
      </c>
      <c r="C17" s="4" t="s">
        <v>31</v>
      </c>
      <c r="D17" s="4" t="s">
        <v>120</v>
      </c>
      <c r="E17" s="4">
        <v>3723</v>
      </c>
      <c r="F17" s="5" t="s">
        <v>121</v>
      </c>
      <c r="G17" s="4" t="s">
        <v>104</v>
      </c>
      <c r="H17" s="4" t="s">
        <v>65</v>
      </c>
      <c r="I17" s="2" t="s">
        <v>122</v>
      </c>
      <c r="J17" s="2" t="s">
        <v>123</v>
      </c>
      <c r="K17" s="5" t="s">
        <v>124</v>
      </c>
      <c r="L17" s="2"/>
      <c r="M17" s="7" t="s">
        <v>40</v>
      </c>
      <c r="N17" s="4" t="s">
        <v>41</v>
      </c>
    </row>
    <row r="18" spans="1:16">
      <c r="A18" s="4" t="s">
        <v>125</v>
      </c>
      <c r="B18" s="4" t="s">
        <v>30</v>
      </c>
      <c r="C18" s="4" t="s">
        <v>31</v>
      </c>
      <c r="D18" s="4" t="s">
        <v>126</v>
      </c>
      <c r="E18" s="4">
        <v>3239</v>
      </c>
      <c r="F18" s="5" t="s">
        <v>127</v>
      </c>
      <c r="G18" s="4" t="s">
        <v>64</v>
      </c>
      <c r="H18" s="4" t="s">
        <v>65</v>
      </c>
      <c r="I18" s="4" t="s">
        <v>55</v>
      </c>
      <c r="J18" s="4" t="s">
        <v>37</v>
      </c>
      <c r="K18" s="5" t="s">
        <v>128</v>
      </c>
      <c r="L18" s="4" t="s">
        <v>66</v>
      </c>
      <c r="M18" s="7" t="s">
        <v>40</v>
      </c>
      <c r="N18" s="4" t="s">
        <v>41</v>
      </c>
    </row>
    <row r="19" spans="1:16" ht="129.6">
      <c r="A19" s="4" t="s">
        <v>129</v>
      </c>
      <c r="B19" s="4" t="s">
        <v>30</v>
      </c>
      <c r="C19" s="4" t="s">
        <v>31</v>
      </c>
      <c r="D19" s="4" t="s">
        <v>130</v>
      </c>
      <c r="E19" s="4">
        <v>3380</v>
      </c>
      <c r="G19" s="2" t="s">
        <v>131</v>
      </c>
      <c r="H19" s="4" t="s">
        <v>65</v>
      </c>
      <c r="I19" s="2" t="s">
        <v>132</v>
      </c>
      <c r="J19" s="4" t="s">
        <v>37</v>
      </c>
      <c r="K19" s="4" t="s">
        <v>33</v>
      </c>
      <c r="L19" s="2"/>
      <c r="M19" s="7" t="s">
        <v>40</v>
      </c>
      <c r="N19" s="4" t="s">
        <v>41</v>
      </c>
    </row>
    <row r="20" spans="1:16">
      <c r="A20" s="4" t="s">
        <v>133</v>
      </c>
      <c r="B20" s="4" t="s">
        <v>69</v>
      </c>
      <c r="C20" s="4" t="s">
        <v>134</v>
      </c>
      <c r="D20" s="5" t="s">
        <v>135</v>
      </c>
      <c r="E20" s="8" t="s">
        <v>136</v>
      </c>
      <c r="F20" s="4" t="s">
        <v>33</v>
      </c>
      <c r="G20" s="4" t="s">
        <v>137</v>
      </c>
      <c r="H20" s="4" t="s">
        <v>65</v>
      </c>
      <c r="I20" s="4" t="s">
        <v>33</v>
      </c>
      <c r="J20" s="4" t="s">
        <v>33</v>
      </c>
      <c r="K20" s="4" t="s">
        <v>138</v>
      </c>
      <c r="L20" s="4" t="s">
        <v>57</v>
      </c>
      <c r="M20" s="4" t="s">
        <v>40</v>
      </c>
      <c r="N20" s="4" t="s">
        <v>41</v>
      </c>
    </row>
    <row r="21" spans="1:16">
      <c r="A21" s="4" t="s">
        <v>139</v>
      </c>
      <c r="B21" s="4" t="s">
        <v>140</v>
      </c>
      <c r="C21" s="4" t="s">
        <v>134</v>
      </c>
      <c r="D21" s="5" t="s">
        <v>141</v>
      </c>
      <c r="E21" s="8" t="s">
        <v>142</v>
      </c>
      <c r="F21" s="4" t="s">
        <v>33</v>
      </c>
      <c r="G21" s="4" t="s">
        <v>137</v>
      </c>
      <c r="H21" s="4" t="s">
        <v>65</v>
      </c>
      <c r="I21" s="4" t="s">
        <v>33</v>
      </c>
      <c r="J21" s="4" t="s">
        <v>33</v>
      </c>
      <c r="K21" s="4" t="s">
        <v>138</v>
      </c>
      <c r="L21" s="4" t="s">
        <v>57</v>
      </c>
      <c r="M21" s="4" t="s">
        <v>40</v>
      </c>
      <c r="N21" s="4" t="s">
        <v>41</v>
      </c>
    </row>
    <row r="22" spans="1:16">
      <c r="A22" s="12" t="s">
        <v>143</v>
      </c>
      <c r="B22" s="12" t="s">
        <v>30</v>
      </c>
      <c r="C22" s="12" t="s">
        <v>134</v>
      </c>
      <c r="D22" s="14" t="s">
        <v>144</v>
      </c>
      <c r="E22" s="15" t="s">
        <v>145</v>
      </c>
      <c r="F22" s="12" t="s">
        <v>33</v>
      </c>
      <c r="G22" s="12" t="s">
        <v>146</v>
      </c>
      <c r="H22" s="12" t="s">
        <v>40</v>
      </c>
      <c r="I22" s="12" t="s">
        <v>33</v>
      </c>
      <c r="J22" s="12" t="s">
        <v>33</v>
      </c>
      <c r="K22" s="12" t="s">
        <v>138</v>
      </c>
      <c r="L22" s="12" t="s">
        <v>57</v>
      </c>
      <c r="M22" s="12" t="s">
        <v>40</v>
      </c>
      <c r="N22" s="12" t="s">
        <v>58</v>
      </c>
      <c r="O22" s="12"/>
      <c r="P22" s="12"/>
    </row>
    <row r="23" spans="1:16">
      <c r="A23" s="12" t="s">
        <v>147</v>
      </c>
      <c r="B23" s="12" t="s">
        <v>148</v>
      </c>
      <c r="C23" s="12" t="s">
        <v>134</v>
      </c>
      <c r="D23" s="14" t="s">
        <v>149</v>
      </c>
      <c r="E23" s="16" t="s">
        <v>150</v>
      </c>
      <c r="F23" s="12" t="s">
        <v>33</v>
      </c>
      <c r="G23" s="12" t="s">
        <v>146</v>
      </c>
      <c r="H23" s="12" t="s">
        <v>40</v>
      </c>
      <c r="I23" s="12" t="s">
        <v>33</v>
      </c>
      <c r="J23" s="12" t="s">
        <v>33</v>
      </c>
      <c r="K23" s="12" t="s">
        <v>138</v>
      </c>
      <c r="L23" s="12" t="s">
        <v>57</v>
      </c>
      <c r="M23" s="12" t="s">
        <v>40</v>
      </c>
      <c r="N23" s="12" t="s">
        <v>58</v>
      </c>
      <c r="O23" s="12"/>
      <c r="P23" s="12"/>
    </row>
    <row r="24" spans="1:16">
      <c r="A24" s="4" t="s">
        <v>151</v>
      </c>
      <c r="B24" s="4" t="s">
        <v>152</v>
      </c>
      <c r="C24" s="4" t="s">
        <v>134</v>
      </c>
      <c r="D24" s="5" t="s">
        <v>153</v>
      </c>
      <c r="E24" s="8" t="s">
        <v>154</v>
      </c>
      <c r="F24" s="4" t="s">
        <v>33</v>
      </c>
      <c r="G24" s="4" t="s">
        <v>137</v>
      </c>
      <c r="H24" s="4" t="s">
        <v>65</v>
      </c>
      <c r="I24" s="4" t="s">
        <v>33</v>
      </c>
      <c r="J24" s="4" t="s">
        <v>33</v>
      </c>
      <c r="K24" s="4" t="s">
        <v>138</v>
      </c>
      <c r="L24" s="4" t="s">
        <v>57</v>
      </c>
      <c r="M24" s="4" t="s">
        <v>40</v>
      </c>
      <c r="N24" s="4" t="s">
        <v>41</v>
      </c>
    </row>
    <row r="25" spans="1:16">
      <c r="A25" s="4" t="s">
        <v>155</v>
      </c>
      <c r="B25" s="4" t="s">
        <v>156</v>
      </c>
      <c r="C25" s="4" t="s">
        <v>134</v>
      </c>
      <c r="D25" s="5" t="s">
        <v>157</v>
      </c>
      <c r="E25" s="8" t="s">
        <v>158</v>
      </c>
      <c r="F25" s="4" t="s">
        <v>33</v>
      </c>
      <c r="G25" s="4" t="s">
        <v>137</v>
      </c>
      <c r="H25" s="4" t="s">
        <v>65</v>
      </c>
      <c r="I25" s="4" t="s">
        <v>55</v>
      </c>
      <c r="J25" s="4" t="s">
        <v>37</v>
      </c>
      <c r="K25" s="5" t="s">
        <v>159</v>
      </c>
      <c r="L25" s="4" t="s">
        <v>57</v>
      </c>
      <c r="M25" s="4" t="s">
        <v>40</v>
      </c>
      <c r="N25" s="4" t="s">
        <v>41</v>
      </c>
    </row>
    <row r="26" spans="1:16">
      <c r="A26" s="12" t="s">
        <v>160</v>
      </c>
      <c r="B26" s="12" t="s">
        <v>161</v>
      </c>
      <c r="C26" s="12" t="s">
        <v>134</v>
      </c>
      <c r="D26" s="14" t="s">
        <v>162</v>
      </c>
      <c r="E26" s="16" t="s">
        <v>163</v>
      </c>
      <c r="F26" s="12" t="s">
        <v>33</v>
      </c>
      <c r="G26" s="12" t="s">
        <v>146</v>
      </c>
      <c r="H26" s="12" t="s">
        <v>40</v>
      </c>
      <c r="I26" s="12" t="s">
        <v>33</v>
      </c>
      <c r="J26" s="12" t="s">
        <v>33</v>
      </c>
      <c r="K26" s="12" t="s">
        <v>33</v>
      </c>
      <c r="L26" s="12" t="s">
        <v>57</v>
      </c>
      <c r="M26" s="12" t="s">
        <v>40</v>
      </c>
      <c r="N26" s="12" t="s">
        <v>58</v>
      </c>
      <c r="O26" s="12"/>
      <c r="P26" s="12"/>
    </row>
    <row r="27" spans="1:16">
      <c r="A27" s="4" t="s">
        <v>164</v>
      </c>
      <c r="B27" s="4" t="s">
        <v>165</v>
      </c>
      <c r="C27" s="4" t="s">
        <v>134</v>
      </c>
      <c r="D27" s="5" t="s">
        <v>166</v>
      </c>
      <c r="E27" s="8" t="s">
        <v>167</v>
      </c>
      <c r="F27" s="4" t="s">
        <v>33</v>
      </c>
      <c r="G27" s="4" t="s">
        <v>137</v>
      </c>
      <c r="H27" s="4" t="s">
        <v>65</v>
      </c>
      <c r="I27" s="4" t="s">
        <v>33</v>
      </c>
      <c r="J27" s="4" t="s">
        <v>33</v>
      </c>
      <c r="K27" s="4" t="s">
        <v>33</v>
      </c>
      <c r="L27" s="4" t="s">
        <v>57</v>
      </c>
      <c r="M27" s="4" t="s">
        <v>40</v>
      </c>
      <c r="N27" s="4" t="s">
        <v>41</v>
      </c>
    </row>
    <row r="28" spans="1:16">
      <c r="A28" s="4" t="s">
        <v>168</v>
      </c>
      <c r="B28" s="4" t="s">
        <v>30</v>
      </c>
      <c r="C28" s="4" t="s">
        <v>169</v>
      </c>
      <c r="D28" s="5" t="s">
        <v>170</v>
      </c>
      <c r="E28" s="4" t="s">
        <v>33</v>
      </c>
      <c r="F28" s="5" t="s">
        <v>171</v>
      </c>
      <c r="G28" s="4" t="s">
        <v>64</v>
      </c>
      <c r="H28" s="4" t="s">
        <v>65</v>
      </c>
      <c r="I28" s="4" t="s">
        <v>37</v>
      </c>
      <c r="J28" s="4" t="s">
        <v>37</v>
      </c>
      <c r="K28" s="5" t="s">
        <v>172</v>
      </c>
      <c r="L28" s="4" t="s">
        <v>66</v>
      </c>
      <c r="M28" s="4" t="s">
        <v>40</v>
      </c>
      <c r="N28" s="4" t="s">
        <v>41</v>
      </c>
    </row>
    <row r="29" spans="1:16" s="18" customFormat="1" ht="187.15">
      <c r="A29" s="18" t="s">
        <v>173</v>
      </c>
      <c r="B29" s="18" t="s">
        <v>30</v>
      </c>
      <c r="C29" s="18" t="s">
        <v>169</v>
      </c>
      <c r="D29" s="19" t="s">
        <v>174</v>
      </c>
      <c r="E29" s="18" t="s">
        <v>33</v>
      </c>
      <c r="F29" s="19" t="s">
        <v>174</v>
      </c>
      <c r="G29" s="18" t="s">
        <v>64</v>
      </c>
      <c r="H29" s="18" t="s">
        <v>65</v>
      </c>
      <c r="I29" s="20" t="s">
        <v>175</v>
      </c>
      <c r="J29" s="20" t="s">
        <v>176</v>
      </c>
      <c r="K29" s="19" t="s">
        <v>177</v>
      </c>
      <c r="L29" s="20" t="s">
        <v>65</v>
      </c>
      <c r="M29" s="18" t="s">
        <v>40</v>
      </c>
      <c r="N29" s="18" t="s">
        <v>178</v>
      </c>
    </row>
    <row r="30" spans="1:16" ht="216">
      <c r="A30" s="4" t="s">
        <v>179</v>
      </c>
      <c r="B30" s="4" t="s">
        <v>30</v>
      </c>
      <c r="C30" s="4" t="s">
        <v>169</v>
      </c>
      <c r="D30" s="5" t="s">
        <v>180</v>
      </c>
      <c r="E30" s="4" t="s">
        <v>33</v>
      </c>
      <c r="F30" s="5" t="s">
        <v>180</v>
      </c>
      <c r="G30" s="4" t="s">
        <v>64</v>
      </c>
      <c r="H30" s="4" t="s">
        <v>65</v>
      </c>
      <c r="I30" s="2" t="s">
        <v>181</v>
      </c>
      <c r="J30" s="4" t="s">
        <v>37</v>
      </c>
      <c r="K30" s="5" t="s">
        <v>182</v>
      </c>
      <c r="L30" s="2" t="s">
        <v>65</v>
      </c>
      <c r="M30" s="4" t="s">
        <v>40</v>
      </c>
      <c r="N30" s="4" t="s">
        <v>41</v>
      </c>
    </row>
    <row r="31" spans="1:16">
      <c r="A31" s="4" t="s">
        <v>183</v>
      </c>
      <c r="B31" s="4" t="s">
        <v>30</v>
      </c>
      <c r="C31" s="4" t="s">
        <v>169</v>
      </c>
      <c r="D31" s="5" t="s">
        <v>184</v>
      </c>
      <c r="E31" s="4" t="s">
        <v>33</v>
      </c>
      <c r="F31" s="5" t="s">
        <v>184</v>
      </c>
      <c r="G31" s="4" t="s">
        <v>64</v>
      </c>
      <c r="H31" s="4" t="s">
        <v>65</v>
      </c>
      <c r="I31" s="4" t="s">
        <v>185</v>
      </c>
      <c r="J31" s="4" t="s">
        <v>37</v>
      </c>
      <c r="K31" s="5" t="s">
        <v>186</v>
      </c>
      <c r="L31" s="4" t="s">
        <v>65</v>
      </c>
      <c r="M31" s="4" t="s">
        <v>40</v>
      </c>
      <c r="N31" s="4" t="s">
        <v>41</v>
      </c>
    </row>
    <row r="32" spans="1:16" ht="167.25">
      <c r="A32" s="4" t="s">
        <v>187</v>
      </c>
      <c r="B32" s="4" t="s">
        <v>30</v>
      </c>
      <c r="C32" s="4" t="s">
        <v>169</v>
      </c>
      <c r="D32" s="5" t="s">
        <v>121</v>
      </c>
      <c r="E32" s="4" t="s">
        <v>33</v>
      </c>
      <c r="F32" s="5" t="s">
        <v>121</v>
      </c>
      <c r="G32" s="4" t="s">
        <v>104</v>
      </c>
      <c r="H32" s="4" t="s">
        <v>65</v>
      </c>
      <c r="I32" s="2" t="s">
        <v>188</v>
      </c>
      <c r="J32" s="2" t="s">
        <v>123</v>
      </c>
      <c r="K32" s="5" t="s">
        <v>124</v>
      </c>
      <c r="L32" s="2" t="s">
        <v>57</v>
      </c>
      <c r="M32" s="4" t="s">
        <v>40</v>
      </c>
      <c r="N32" s="4" t="s">
        <v>41</v>
      </c>
    </row>
    <row r="33" spans="1:16" s="18" customFormat="1">
      <c r="A33" s="18" t="s">
        <v>189</v>
      </c>
      <c r="B33" s="18" t="s">
        <v>190</v>
      </c>
      <c r="C33" s="18" t="s">
        <v>169</v>
      </c>
      <c r="D33" s="19" t="s">
        <v>191</v>
      </c>
      <c r="E33" s="18" t="s">
        <v>33</v>
      </c>
      <c r="F33" s="19" t="s">
        <v>191</v>
      </c>
      <c r="G33" s="18" t="s">
        <v>192</v>
      </c>
      <c r="H33" s="18" t="s">
        <v>65</v>
      </c>
      <c r="I33" s="18" t="s">
        <v>37</v>
      </c>
      <c r="J33" s="18" t="s">
        <v>37</v>
      </c>
      <c r="K33" s="19" t="s">
        <v>193</v>
      </c>
      <c r="L33" s="18" t="s">
        <v>57</v>
      </c>
      <c r="M33" s="18" t="s">
        <v>40</v>
      </c>
      <c r="N33" s="18" t="s">
        <v>178</v>
      </c>
    </row>
    <row r="34" spans="1:16">
      <c r="A34" s="12" t="s">
        <v>194</v>
      </c>
      <c r="B34" s="12" t="s">
        <v>30</v>
      </c>
      <c r="C34" s="12" t="s">
        <v>169</v>
      </c>
      <c r="D34" s="14" t="s">
        <v>195</v>
      </c>
      <c r="E34" s="12" t="s">
        <v>33</v>
      </c>
      <c r="F34" s="14" t="s">
        <v>195</v>
      </c>
      <c r="G34" s="12" t="s">
        <v>54</v>
      </c>
      <c r="H34" s="12" t="s">
        <v>40</v>
      </c>
      <c r="I34" s="12" t="s">
        <v>37</v>
      </c>
      <c r="J34" s="12" t="s">
        <v>37</v>
      </c>
      <c r="K34" s="12" t="s">
        <v>138</v>
      </c>
      <c r="L34" s="12" t="s">
        <v>57</v>
      </c>
      <c r="M34" s="12" t="s">
        <v>40</v>
      </c>
      <c r="N34" s="12" t="s">
        <v>58</v>
      </c>
      <c r="O34" s="12"/>
      <c r="P34" s="12"/>
    </row>
    <row r="35" spans="1:16" ht="86.45">
      <c r="A35" s="4" t="s">
        <v>196</v>
      </c>
      <c r="B35" s="4" t="s">
        <v>30</v>
      </c>
      <c r="C35" s="4" t="s">
        <v>169</v>
      </c>
      <c r="D35" s="5" t="s">
        <v>197</v>
      </c>
      <c r="E35" s="4" t="s">
        <v>33</v>
      </c>
      <c r="F35" s="5" t="s">
        <v>197</v>
      </c>
      <c r="G35" s="4" t="s">
        <v>64</v>
      </c>
      <c r="H35" s="4" t="s">
        <v>65</v>
      </c>
      <c r="I35" s="2" t="s">
        <v>198</v>
      </c>
      <c r="J35" s="4" t="s">
        <v>37</v>
      </c>
      <c r="K35" s="5" t="s">
        <v>199</v>
      </c>
      <c r="L35" s="2" t="s">
        <v>39</v>
      </c>
      <c r="M35" s="4" t="s">
        <v>40</v>
      </c>
      <c r="N35" s="4" t="s">
        <v>41</v>
      </c>
    </row>
    <row r="36" spans="1:16" ht="305.25">
      <c r="A36" s="4" t="s">
        <v>200</v>
      </c>
      <c r="B36" s="4" t="s">
        <v>30</v>
      </c>
      <c r="C36" s="4" t="s">
        <v>201</v>
      </c>
      <c r="D36" s="5" t="s">
        <v>202</v>
      </c>
      <c r="E36" s="4" t="s">
        <v>33</v>
      </c>
      <c r="F36" s="4" t="s">
        <v>33</v>
      </c>
      <c r="G36" s="4" t="s">
        <v>203</v>
      </c>
      <c r="H36" s="4" t="s">
        <v>65</v>
      </c>
      <c r="I36" s="2" t="s">
        <v>204</v>
      </c>
      <c r="J36" s="2" t="s">
        <v>205</v>
      </c>
      <c r="K36" s="4" t="s">
        <v>33</v>
      </c>
      <c r="L36" s="2" t="s">
        <v>57</v>
      </c>
      <c r="N36" s="4" t="s">
        <v>41</v>
      </c>
    </row>
    <row r="39" spans="1:16">
      <c r="A39" s="4">
        <f>COUNTA(A2:A36)</f>
        <v>35</v>
      </c>
    </row>
  </sheetData>
  <hyperlinks>
    <hyperlink ref="K2" r:id="rId1" xr:uid="{78D3C985-0CD5-4E96-ACB3-9BB0F6EB551E}"/>
    <hyperlink ref="K4" r:id="rId2" xr:uid="{BEC8D618-F0F4-412F-9E03-8C8B5D1612F1}"/>
    <hyperlink ref="K8" r:id="rId3" xr:uid="{3661CDF9-3021-4735-8729-6ADB921976D2}"/>
    <hyperlink ref="K9" r:id="rId4" xr:uid="{FDE8BED3-7AD1-468C-A77C-C41865353D6F}"/>
    <hyperlink ref="K10" r:id="rId5" xr:uid="{6D9C7D0C-C134-4F1A-8A7F-D74FD2020B26}"/>
    <hyperlink ref="K11" r:id="rId6" xr:uid="{A3604715-EDA5-4077-AA40-8CC96D1DCDC8}"/>
    <hyperlink ref="F13" r:id="rId7" xr:uid="{D93718AC-E3E9-4FBC-864C-4CFB114F8D3D}"/>
    <hyperlink ref="F12" r:id="rId8" xr:uid="{82CEEEC3-6597-4254-B094-5A161925CED6}"/>
    <hyperlink ref="K13" r:id="rId9" xr:uid="{5439DA78-9C39-457C-84C7-048D2EFC19D2}"/>
    <hyperlink ref="K12" r:id="rId10" xr:uid="{F5CAA6B8-5C03-470D-B60C-0EBA36F6CA80}"/>
    <hyperlink ref="K14" r:id="rId11" xr:uid="{F8ADE0BB-ED39-4038-A205-BC19E4802F88}"/>
    <hyperlink ref="K15" r:id="rId12" xr:uid="{8C7B714B-560C-46BA-9B0B-36D181D3A437}"/>
    <hyperlink ref="F15" r:id="rId13" xr:uid="{E144597A-131B-4C5A-A523-FAAB0814FDD2}"/>
    <hyperlink ref="K16" r:id="rId14" xr:uid="{F8076380-BCD1-405F-9003-5732A80A4FCC}"/>
    <hyperlink ref="K17" r:id="rId15" xr:uid="{46A0766E-A6EC-4AF9-ACD7-6E9DE1AB6783}"/>
    <hyperlink ref="F17" r:id="rId16" xr:uid="{F43238C7-91D1-4461-9B66-0B5686A06789}"/>
    <hyperlink ref="F16" r:id="rId17" xr:uid="{4816A59F-6A7F-4376-B244-DD68084F5B94}"/>
    <hyperlink ref="K18" r:id="rId18" xr:uid="{ACEB79EE-4F60-4328-8124-73CAC2324186}"/>
    <hyperlink ref="D20" r:id="rId19" xr:uid="{195D8BAE-46A1-4E26-8FAA-D3A73FDE3D0B}"/>
    <hyperlink ref="D21" r:id="rId20" xr:uid="{70E57D49-1D9F-4774-AD99-A6B656CAD9DA}"/>
    <hyperlink ref="D22" r:id="rId21" xr:uid="{9A4BE264-2A4C-4317-8372-255BFFCF547C}"/>
    <hyperlink ref="D23" r:id="rId22" location="full-list" xr:uid="{C39E0997-8923-4995-B4F1-0E2DA2C29362}"/>
    <hyperlink ref="D24" r:id="rId23" xr:uid="{C11A70FE-0781-496B-BEA0-C552EF9A5231}"/>
    <hyperlink ref="D25" r:id="rId24" xr:uid="{993A1118-B35A-48F9-AFC0-0B3B2A7BFDCA}"/>
    <hyperlink ref="K25" r:id="rId25" xr:uid="{CF35986E-172E-449F-8876-3CF2893DC96B}"/>
    <hyperlink ref="D26" r:id="rId26" xr:uid="{F82BAB65-038D-401A-8E4C-8975D631EC61}"/>
    <hyperlink ref="D27" r:id="rId27" location="full-list" xr:uid="{DCCB71D6-F017-4108-9308-13FEEC3E4BAA}"/>
    <hyperlink ref="D28" r:id="rId28" xr:uid="{49BFC734-3CF6-4775-9D3E-96B315CECA5A}"/>
    <hyperlink ref="F28" r:id="rId29" xr:uid="{72BDB310-1977-4E52-8C3C-26AF1E901BBC}"/>
    <hyperlink ref="K28" r:id="rId30" xr:uid="{445ED94B-411E-4580-B204-7411975ED22E}"/>
    <hyperlink ref="D29" r:id="rId31" xr:uid="{E5367166-5DCF-4F6B-9A3E-22140EC440E8}"/>
    <hyperlink ref="F29" r:id="rId32" xr:uid="{9AF96EC5-54FC-4FDE-A351-458E32DFD784}"/>
    <hyperlink ref="K29" r:id="rId33" xr:uid="{0F451F4B-F9E3-4C1D-86AB-D167FF80A2E9}"/>
    <hyperlink ref="D30" r:id="rId34" location="L1137" xr:uid="{B6CF3A4F-05A7-4141-A287-8202328573A6}"/>
    <hyperlink ref="F30" r:id="rId35" location="L1137" xr:uid="{AD46B2EE-900D-4D95-A8A4-4794E212BF76}"/>
    <hyperlink ref="K30" r:id="rId36" xr:uid="{33E3B8C7-572A-4B12-8871-6E22E5D89E21}"/>
    <hyperlink ref="D31" r:id="rId37" location="L602" xr:uid="{75C9EE08-F0ED-420C-B02C-C53B7741A71D}"/>
    <hyperlink ref="F31" r:id="rId38" location="L602" xr:uid="{D7C9ECD2-F860-406B-898F-349F4484604C}"/>
    <hyperlink ref="K31" r:id="rId39" xr:uid="{44676708-7345-4821-A039-CF96FE5C186C}"/>
    <hyperlink ref="D32" r:id="rId40" xr:uid="{FDA438CE-6385-4967-BBA1-EFC6A9BAD40C}"/>
    <hyperlink ref="F32" r:id="rId41" xr:uid="{2A6206DF-E9A2-4526-96D2-DBCD982D95C0}"/>
    <hyperlink ref="K32" r:id="rId42" xr:uid="{EBEF6C02-F710-410D-A9BC-1F587FC116D7}"/>
    <hyperlink ref="D33" r:id="rId43" xr:uid="{3B17D437-28BB-4704-B6F1-532863EF8CEC}"/>
    <hyperlink ref="F33" r:id="rId44" xr:uid="{BA634318-6A04-4C4A-BD0F-55D1A761C6F4}"/>
    <hyperlink ref="D34" r:id="rId45" xr:uid="{815F784B-0C58-4CF6-8F71-720A036CC0DC}"/>
    <hyperlink ref="F34" r:id="rId46" xr:uid="{9829EB46-4B40-4C04-9116-2661C86D3F24}"/>
    <hyperlink ref="D35" r:id="rId47" xr:uid="{748D90A8-7403-41B1-B79F-97FC78D190A7}"/>
    <hyperlink ref="F35" r:id="rId48" xr:uid="{5F01A2CA-8529-4222-908C-B3FFCF418B67}"/>
    <hyperlink ref="K35" r:id="rId49" xr:uid="{AB465553-C310-4918-86AB-1705E515D11B}"/>
    <hyperlink ref="K33" r:id="rId50" xr:uid="{52A187A8-B074-47C9-B08E-36C396F1EB54}"/>
    <hyperlink ref="D36" r:id="rId51" xr:uid="{C6EBD0F1-62B9-4214-AA93-616CF2CB70F2}"/>
    <hyperlink ref="F18" r:id="rId52" xr:uid="{560C74A1-9A8F-4D0F-9795-167BF60642CA}"/>
    <hyperlink ref="K3" r:id="rId53" xr:uid="{AB9388D8-4112-4FDA-B2AF-B295E56D49E9}"/>
    <hyperlink ref="K5" r:id="rId54" xr:uid="{FD58CD7F-64BF-4EF5-9000-FE2D62CC2CA1}"/>
    <hyperlink ref="K7" r:id="rId55" xr:uid="{6B0D6186-3DFE-40EF-8CB9-EB013C4092CC}"/>
  </hyperlinks>
  <pageMargins left="0.7" right="0.7" top="0.75" bottom="0.75" header="0.3" footer="0.3"/>
  <tableParts count="1">
    <tablePart r:id="rId5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41BA4-6884-4B02-A590-0352D75AB258}">
  <dimension ref="A1:H39"/>
  <sheetViews>
    <sheetView workbookViewId="0">
      <selection activeCell="E10" sqref="E10"/>
    </sheetView>
  </sheetViews>
  <sheetFormatPr defaultColWidth="9.140625" defaultRowHeight="14.45"/>
  <cols>
    <col min="1" max="1" width="29.85546875" style="9" customWidth="1"/>
    <col min="2" max="2" width="65.5703125" customWidth="1"/>
    <col min="3" max="3" width="128.85546875" customWidth="1"/>
    <col min="4" max="4" width="47.42578125" customWidth="1"/>
    <col min="5" max="5" width="41.28515625" customWidth="1"/>
    <col min="6" max="6" width="26.5703125" customWidth="1"/>
    <col min="7" max="7" width="32.7109375" customWidth="1"/>
    <col min="8" max="8" width="28" customWidth="1"/>
    <col min="9" max="9" width="26.7109375" customWidth="1"/>
  </cols>
  <sheetData>
    <row r="1" spans="1:8">
      <c r="A1" s="17" t="s">
        <v>13</v>
      </c>
      <c r="B1" s="11" t="s">
        <v>14</v>
      </c>
      <c r="C1" s="11" t="s">
        <v>16</v>
      </c>
      <c r="D1" s="11" t="s">
        <v>206</v>
      </c>
      <c r="E1" s="11" t="s">
        <v>207</v>
      </c>
      <c r="F1" s="11" t="s">
        <v>208</v>
      </c>
      <c r="G1" s="11" t="s">
        <v>209</v>
      </c>
      <c r="H1" s="11" t="s">
        <v>210</v>
      </c>
    </row>
    <row r="2" spans="1:8">
      <c r="A2" s="9" t="s">
        <v>29</v>
      </c>
      <c r="B2" t="s">
        <v>30</v>
      </c>
      <c r="C2" t="s">
        <v>32</v>
      </c>
      <c r="D2" t="s">
        <v>211</v>
      </c>
      <c r="E2" t="s">
        <v>212</v>
      </c>
      <c r="F2" t="s">
        <v>40</v>
      </c>
      <c r="G2" t="s">
        <v>40</v>
      </c>
      <c r="H2" t="s">
        <v>40</v>
      </c>
    </row>
    <row r="3" spans="1:8">
      <c r="A3" s="9" t="s">
        <v>43</v>
      </c>
      <c r="B3" t="s">
        <v>44</v>
      </c>
      <c r="C3" t="s">
        <v>45</v>
      </c>
      <c r="D3" t="s">
        <v>211</v>
      </c>
      <c r="E3" t="s">
        <v>212</v>
      </c>
      <c r="F3" t="s">
        <v>40</v>
      </c>
      <c r="G3" t="s">
        <v>213</v>
      </c>
      <c r="H3" t="s">
        <v>40</v>
      </c>
    </row>
    <row r="4" spans="1:8">
      <c r="A4" s="9" t="s">
        <v>51</v>
      </c>
      <c r="B4" t="s">
        <v>52</v>
      </c>
      <c r="C4" t="s">
        <v>53</v>
      </c>
      <c r="D4" t="s">
        <v>214</v>
      </c>
      <c r="E4" t="s">
        <v>40</v>
      </c>
      <c r="F4" t="s">
        <v>40</v>
      </c>
      <c r="G4" t="s">
        <v>40</v>
      </c>
      <c r="H4" t="s">
        <v>40</v>
      </c>
    </row>
    <row r="5" spans="1:8">
      <c r="A5" s="9" t="s">
        <v>59</v>
      </c>
      <c r="B5" t="s">
        <v>60</v>
      </c>
      <c r="C5" t="s">
        <v>61</v>
      </c>
      <c r="D5" t="s">
        <v>214</v>
      </c>
      <c r="E5" t="s">
        <v>40</v>
      </c>
      <c r="F5" t="s">
        <v>40</v>
      </c>
      <c r="G5" t="s">
        <v>40</v>
      </c>
      <c r="H5" t="s">
        <v>40</v>
      </c>
    </row>
    <row r="6" spans="1:8">
      <c r="A6" s="9" t="s">
        <v>62</v>
      </c>
      <c r="B6" t="s">
        <v>30</v>
      </c>
      <c r="C6" t="s">
        <v>63</v>
      </c>
      <c r="D6" t="s">
        <v>215</v>
      </c>
      <c r="E6" t="s">
        <v>216</v>
      </c>
      <c r="F6" t="s">
        <v>40</v>
      </c>
      <c r="G6" t="s">
        <v>213</v>
      </c>
      <c r="H6" t="s">
        <v>40</v>
      </c>
    </row>
    <row r="7" spans="1:8">
      <c r="A7" s="9" t="s">
        <v>68</v>
      </c>
      <c r="B7" t="s">
        <v>69</v>
      </c>
      <c r="C7" t="s">
        <v>70</v>
      </c>
      <c r="D7" t="s">
        <v>214</v>
      </c>
      <c r="E7" t="s">
        <v>40</v>
      </c>
      <c r="F7" t="s">
        <v>40</v>
      </c>
      <c r="G7" t="s">
        <v>40</v>
      </c>
      <c r="H7" t="s">
        <v>40</v>
      </c>
    </row>
    <row r="8" spans="1:8">
      <c r="A8" s="9" t="s">
        <v>72</v>
      </c>
      <c r="B8" t="s">
        <v>30</v>
      </c>
      <c r="C8" t="s">
        <v>73</v>
      </c>
      <c r="D8" t="s">
        <v>217</v>
      </c>
      <c r="E8" t="s">
        <v>40</v>
      </c>
      <c r="F8" t="s">
        <v>40</v>
      </c>
      <c r="G8" t="s">
        <v>40</v>
      </c>
      <c r="H8" t="s">
        <v>40</v>
      </c>
    </row>
    <row r="9" spans="1:8">
      <c r="A9" s="9" t="s">
        <v>76</v>
      </c>
      <c r="B9" t="s">
        <v>30</v>
      </c>
      <c r="C9" t="s">
        <v>77</v>
      </c>
      <c r="D9" t="s">
        <v>214</v>
      </c>
      <c r="E9" t="s">
        <v>40</v>
      </c>
      <c r="F9" t="s">
        <v>40</v>
      </c>
      <c r="G9" t="s">
        <v>40</v>
      </c>
      <c r="H9" t="s">
        <v>40</v>
      </c>
    </row>
    <row r="10" spans="1:8">
      <c r="A10" s="9" t="s">
        <v>80</v>
      </c>
      <c r="B10" t="s">
        <v>81</v>
      </c>
      <c r="C10" t="s">
        <v>82</v>
      </c>
      <c r="H10" t="s">
        <v>40</v>
      </c>
    </row>
    <row r="11" spans="1:8">
      <c r="A11" s="9" t="s">
        <v>86</v>
      </c>
      <c r="B11" t="s">
        <v>87</v>
      </c>
      <c r="C11" t="s">
        <v>88</v>
      </c>
      <c r="D11" t="s">
        <v>214</v>
      </c>
      <c r="E11" t="s">
        <v>40</v>
      </c>
      <c r="F11" t="s">
        <v>40</v>
      </c>
      <c r="G11" t="s">
        <v>40</v>
      </c>
      <c r="H11" t="s">
        <v>40</v>
      </c>
    </row>
    <row r="12" spans="1:8">
      <c r="A12" s="9" t="s">
        <v>90</v>
      </c>
      <c r="B12" t="s">
        <v>91</v>
      </c>
      <c r="C12" t="s">
        <v>92</v>
      </c>
      <c r="D12" t="s">
        <v>215</v>
      </c>
      <c r="E12" t="s">
        <v>216</v>
      </c>
      <c r="F12" t="s">
        <v>40</v>
      </c>
      <c r="G12" t="s">
        <v>40</v>
      </c>
      <c r="H12" t="s">
        <v>40</v>
      </c>
    </row>
    <row r="13" spans="1:8">
      <c r="A13" s="9" t="s">
        <v>96</v>
      </c>
      <c r="B13" t="s">
        <v>97</v>
      </c>
      <c r="C13" t="s">
        <v>98</v>
      </c>
      <c r="D13" t="s">
        <v>215</v>
      </c>
      <c r="E13" t="s">
        <v>218</v>
      </c>
      <c r="F13" t="s">
        <v>40</v>
      </c>
      <c r="G13" t="s">
        <v>40</v>
      </c>
      <c r="H13" t="s">
        <v>40</v>
      </c>
    </row>
    <row r="14" spans="1:8">
      <c r="A14" s="9" t="s">
        <v>101</v>
      </c>
      <c r="B14" t="s">
        <v>102</v>
      </c>
      <c r="C14" t="s">
        <v>103</v>
      </c>
      <c r="D14" t="s">
        <v>40</v>
      </c>
      <c r="E14" t="s">
        <v>216</v>
      </c>
      <c r="F14" t="s">
        <v>40</v>
      </c>
      <c r="G14" t="s">
        <v>40</v>
      </c>
      <c r="H14" t="s">
        <v>40</v>
      </c>
    </row>
    <row r="15" spans="1:8">
      <c r="A15" s="9" t="s">
        <v>107</v>
      </c>
      <c r="B15" t="s">
        <v>108</v>
      </c>
      <c r="C15" t="s">
        <v>109</v>
      </c>
      <c r="D15" t="s">
        <v>215</v>
      </c>
      <c r="E15" t="s">
        <v>40</v>
      </c>
      <c r="F15" t="s">
        <v>40</v>
      </c>
      <c r="G15" t="s">
        <v>40</v>
      </c>
      <c r="H15" t="s">
        <v>219</v>
      </c>
    </row>
    <row r="16" spans="1:8">
      <c r="A16" s="9" t="s">
        <v>115</v>
      </c>
      <c r="B16" t="s">
        <v>30</v>
      </c>
      <c r="C16" t="s">
        <v>116</v>
      </c>
      <c r="D16" t="s">
        <v>215</v>
      </c>
      <c r="E16" t="s">
        <v>216</v>
      </c>
      <c r="F16" t="s">
        <v>40</v>
      </c>
      <c r="G16" t="s">
        <v>40</v>
      </c>
      <c r="H16" t="s">
        <v>40</v>
      </c>
    </row>
    <row r="17" spans="1:8">
      <c r="A17" s="9" t="s">
        <v>119</v>
      </c>
      <c r="B17" t="s">
        <v>30</v>
      </c>
      <c r="C17" t="s">
        <v>120</v>
      </c>
      <c r="D17" t="s">
        <v>40</v>
      </c>
      <c r="E17" t="s">
        <v>216</v>
      </c>
      <c r="F17" t="s">
        <v>40</v>
      </c>
      <c r="G17" t="s">
        <v>40</v>
      </c>
      <c r="H17" t="s">
        <v>40</v>
      </c>
    </row>
    <row r="18" spans="1:8">
      <c r="A18" s="9" t="s">
        <v>125</v>
      </c>
      <c r="B18" t="s">
        <v>30</v>
      </c>
      <c r="C18" t="s">
        <v>126</v>
      </c>
      <c r="D18" t="s">
        <v>215</v>
      </c>
      <c r="E18" t="s">
        <v>216</v>
      </c>
      <c r="F18" t="s">
        <v>40</v>
      </c>
      <c r="G18" t="s">
        <v>213</v>
      </c>
      <c r="H18" t="s">
        <v>40</v>
      </c>
    </row>
    <row r="19" spans="1:8">
      <c r="A19" s="9" t="s">
        <v>129</v>
      </c>
      <c r="B19" t="s">
        <v>30</v>
      </c>
      <c r="C19" t="s">
        <v>130</v>
      </c>
    </row>
    <row r="20" spans="1:8">
      <c r="A20" s="9" t="s">
        <v>133</v>
      </c>
      <c r="B20" t="s">
        <v>69</v>
      </c>
      <c r="C20" s="10" t="s">
        <v>135</v>
      </c>
      <c r="D20" t="s">
        <v>65</v>
      </c>
      <c r="E20" t="s">
        <v>40</v>
      </c>
      <c r="F20" t="s">
        <v>40</v>
      </c>
      <c r="G20" t="s">
        <v>40</v>
      </c>
      <c r="H20" t="s">
        <v>40</v>
      </c>
    </row>
    <row r="21" spans="1:8">
      <c r="A21" s="9" t="s">
        <v>139</v>
      </c>
      <c r="B21" t="s">
        <v>140</v>
      </c>
      <c r="C21" s="10" t="s">
        <v>141</v>
      </c>
      <c r="D21" t="s">
        <v>65</v>
      </c>
      <c r="E21" t="s">
        <v>40</v>
      </c>
      <c r="F21" t="s">
        <v>40</v>
      </c>
      <c r="G21" t="s">
        <v>40</v>
      </c>
      <c r="H21" t="s">
        <v>40</v>
      </c>
    </row>
    <row r="22" spans="1:8">
      <c r="A22" s="9" t="s">
        <v>143</v>
      </c>
      <c r="B22" t="s">
        <v>30</v>
      </c>
      <c r="C22" s="10" t="s">
        <v>144</v>
      </c>
      <c r="D22" t="s">
        <v>220</v>
      </c>
      <c r="E22" t="s">
        <v>40</v>
      </c>
      <c r="F22" t="s">
        <v>40</v>
      </c>
      <c r="G22" t="s">
        <v>40</v>
      </c>
      <c r="H22" t="s">
        <v>40</v>
      </c>
    </row>
    <row r="23" spans="1:8">
      <c r="A23" s="9" t="s">
        <v>147</v>
      </c>
      <c r="B23" t="s">
        <v>148</v>
      </c>
      <c r="C23" s="10" t="s">
        <v>149</v>
      </c>
      <c r="D23" t="s">
        <v>220</v>
      </c>
      <c r="E23" t="s">
        <v>40</v>
      </c>
      <c r="F23" t="s">
        <v>40</v>
      </c>
      <c r="G23" t="s">
        <v>40</v>
      </c>
      <c r="H23" t="s">
        <v>40</v>
      </c>
    </row>
    <row r="24" spans="1:8">
      <c r="A24" s="9" t="s">
        <v>151</v>
      </c>
      <c r="B24" t="s">
        <v>152</v>
      </c>
      <c r="C24" s="10" t="s">
        <v>153</v>
      </c>
      <c r="D24" t="s">
        <v>65</v>
      </c>
      <c r="E24" t="s">
        <v>40</v>
      </c>
      <c r="F24" t="s">
        <v>40</v>
      </c>
      <c r="G24" t="s">
        <v>40</v>
      </c>
      <c r="H24" t="s">
        <v>40</v>
      </c>
    </row>
    <row r="25" spans="1:8">
      <c r="A25" s="9" t="s">
        <v>155</v>
      </c>
      <c r="B25" t="s">
        <v>156</v>
      </c>
      <c r="C25" s="10" t="s">
        <v>157</v>
      </c>
      <c r="D25" t="s">
        <v>221</v>
      </c>
      <c r="E25" t="s">
        <v>40</v>
      </c>
      <c r="F25" t="s">
        <v>40</v>
      </c>
      <c r="G25" t="s">
        <v>40</v>
      </c>
      <c r="H25" t="s">
        <v>40</v>
      </c>
    </row>
    <row r="26" spans="1:8">
      <c r="A26" s="9" t="s">
        <v>160</v>
      </c>
      <c r="B26" t="s">
        <v>161</v>
      </c>
      <c r="C26" s="10" t="s">
        <v>162</v>
      </c>
      <c r="D26" t="s">
        <v>220</v>
      </c>
      <c r="E26" t="s">
        <v>40</v>
      </c>
      <c r="F26" t="s">
        <v>40</v>
      </c>
      <c r="G26" t="s">
        <v>40</v>
      </c>
      <c r="H26" t="s">
        <v>40</v>
      </c>
    </row>
    <row r="27" spans="1:8">
      <c r="A27" s="9" t="s">
        <v>164</v>
      </c>
      <c r="B27" t="s">
        <v>165</v>
      </c>
      <c r="C27" s="10" t="s">
        <v>166</v>
      </c>
      <c r="D27" t="s">
        <v>65</v>
      </c>
      <c r="E27" t="s">
        <v>40</v>
      </c>
      <c r="F27" t="s">
        <v>40</v>
      </c>
      <c r="G27" t="s">
        <v>40</v>
      </c>
      <c r="H27" t="s">
        <v>40</v>
      </c>
    </row>
    <row r="28" spans="1:8">
      <c r="A28" s="9" t="s">
        <v>168</v>
      </c>
      <c r="B28" t="s">
        <v>30</v>
      </c>
      <c r="C28" s="10" t="s">
        <v>170</v>
      </c>
      <c r="D28" t="s">
        <v>215</v>
      </c>
      <c r="E28" t="s">
        <v>216</v>
      </c>
      <c r="F28" t="s">
        <v>40</v>
      </c>
      <c r="G28" t="s">
        <v>40</v>
      </c>
      <c r="H28" t="s">
        <v>40</v>
      </c>
    </row>
    <row r="29" spans="1:8">
      <c r="A29" s="9" t="s">
        <v>173</v>
      </c>
      <c r="B29" t="s">
        <v>30</v>
      </c>
      <c r="C29" s="10" t="s">
        <v>174</v>
      </c>
      <c r="D29" t="s">
        <v>40</v>
      </c>
      <c r="E29" t="s">
        <v>216</v>
      </c>
      <c r="F29" t="s">
        <v>40</v>
      </c>
      <c r="G29" t="s">
        <v>40</v>
      </c>
      <c r="H29" t="s">
        <v>40</v>
      </c>
    </row>
    <row r="30" spans="1:8">
      <c r="A30" s="9" t="s">
        <v>179</v>
      </c>
      <c r="B30" t="s">
        <v>30</v>
      </c>
      <c r="C30" s="10" t="s">
        <v>180</v>
      </c>
      <c r="D30" t="s">
        <v>215</v>
      </c>
      <c r="E30" t="s">
        <v>216</v>
      </c>
      <c r="F30" t="s">
        <v>40</v>
      </c>
      <c r="G30" t="s">
        <v>213</v>
      </c>
      <c r="H30" t="s">
        <v>40</v>
      </c>
    </row>
    <row r="31" spans="1:8">
      <c r="A31" s="9" t="s">
        <v>183</v>
      </c>
      <c r="B31" t="s">
        <v>30</v>
      </c>
      <c r="C31" s="10" t="s">
        <v>184</v>
      </c>
      <c r="D31" t="s">
        <v>215</v>
      </c>
      <c r="E31" t="s">
        <v>216</v>
      </c>
      <c r="F31" t="s">
        <v>40</v>
      </c>
      <c r="G31" t="s">
        <v>40</v>
      </c>
      <c r="H31" t="s">
        <v>40</v>
      </c>
    </row>
    <row r="32" spans="1:8">
      <c r="A32" s="9" t="s">
        <v>187</v>
      </c>
      <c r="B32" t="s">
        <v>30</v>
      </c>
      <c r="C32" s="10" t="s">
        <v>121</v>
      </c>
      <c r="D32" t="s">
        <v>40</v>
      </c>
      <c r="E32" t="s">
        <v>216</v>
      </c>
      <c r="F32" t="s">
        <v>40</v>
      </c>
      <c r="G32" t="s">
        <v>40</v>
      </c>
      <c r="H32" t="s">
        <v>40</v>
      </c>
    </row>
    <row r="33" spans="1:8">
      <c r="A33" s="9" t="s">
        <v>189</v>
      </c>
      <c r="B33" t="s">
        <v>190</v>
      </c>
      <c r="C33" s="10" t="s">
        <v>191</v>
      </c>
      <c r="D33" t="s">
        <v>215</v>
      </c>
      <c r="E33" t="s">
        <v>40</v>
      </c>
      <c r="F33" t="s">
        <v>40</v>
      </c>
      <c r="G33" t="s">
        <v>40</v>
      </c>
      <c r="H33" t="s">
        <v>40</v>
      </c>
    </row>
    <row r="34" spans="1:8">
      <c r="A34" s="9" t="s">
        <v>194</v>
      </c>
      <c r="B34" t="s">
        <v>30</v>
      </c>
      <c r="C34" s="10" t="s">
        <v>195</v>
      </c>
      <c r="D34" t="s">
        <v>222</v>
      </c>
      <c r="E34" t="s">
        <v>40</v>
      </c>
      <c r="F34" t="s">
        <v>40</v>
      </c>
      <c r="G34" t="s">
        <v>40</v>
      </c>
      <c r="H34" t="s">
        <v>40</v>
      </c>
    </row>
    <row r="35" spans="1:8">
      <c r="A35" s="9" t="s">
        <v>196</v>
      </c>
      <c r="B35" t="s">
        <v>30</v>
      </c>
      <c r="C35" s="10" t="s">
        <v>197</v>
      </c>
      <c r="D35" t="s">
        <v>215</v>
      </c>
      <c r="E35" t="s">
        <v>216</v>
      </c>
      <c r="F35" t="s">
        <v>40</v>
      </c>
      <c r="G35" t="s">
        <v>40</v>
      </c>
      <c r="H35" t="s">
        <v>40</v>
      </c>
    </row>
    <row r="36" spans="1:8">
      <c r="A36" s="9" t="s">
        <v>200</v>
      </c>
      <c r="B36" t="s">
        <v>30</v>
      </c>
      <c r="C36" s="10" t="s">
        <v>202</v>
      </c>
      <c r="D36" t="s">
        <v>40</v>
      </c>
      <c r="E36" t="s">
        <v>216</v>
      </c>
      <c r="F36" t="s">
        <v>40</v>
      </c>
      <c r="G36" t="s">
        <v>40</v>
      </c>
      <c r="H36" t="s">
        <v>40</v>
      </c>
    </row>
    <row r="39" spans="1:8">
      <c r="A39" s="9" t="s">
        <v>223</v>
      </c>
      <c r="B39" s="9">
        <f>COUNTA(A2:A36)</f>
        <v>35</v>
      </c>
    </row>
  </sheetData>
  <hyperlinks>
    <hyperlink ref="C20" r:id="rId1" xr:uid="{9EF29667-1776-4951-88B0-2E428C6C3BD1}"/>
    <hyperlink ref="C21" r:id="rId2" xr:uid="{4347CD77-BBDA-469B-A110-424975D793E5}"/>
    <hyperlink ref="C22" r:id="rId3" xr:uid="{D15D04F2-6BCD-4BC4-98B9-DB20C1D286E3}"/>
    <hyperlink ref="C23" r:id="rId4" location="full-list" xr:uid="{8FDC55D7-C059-4D6A-8ECE-9D2D0B4895B4}"/>
    <hyperlink ref="C24" r:id="rId5" xr:uid="{CDE21AE7-EDB2-4EDD-9076-D0DE0329C40A}"/>
    <hyperlink ref="C25" r:id="rId6" xr:uid="{5D646B22-E489-4882-92B1-8E6F64B26E6F}"/>
    <hyperlink ref="C26" r:id="rId7" xr:uid="{91D1546F-0853-442F-8BEB-80C7AC744FEB}"/>
    <hyperlink ref="C27" r:id="rId8" location="full-list" xr:uid="{1CC1AD95-CD86-4EDB-893D-73BB838C69F0}"/>
    <hyperlink ref="C28" r:id="rId9" xr:uid="{EF9F7A13-F181-4171-A8E8-3463A396FB79}"/>
    <hyperlink ref="C29" r:id="rId10" xr:uid="{3AA55B6B-3523-44E5-92DB-6B9EDA3157A1}"/>
    <hyperlink ref="C30" r:id="rId11" location="L1137" xr:uid="{33ABBC0D-8256-465D-8EC9-D93BA6CD126E}"/>
    <hyperlink ref="C31" r:id="rId12" location="L602" xr:uid="{F46A5566-B38C-4DFA-9EA7-889E3C1FAEAD}"/>
    <hyperlink ref="C32" r:id="rId13" xr:uid="{6359E0F0-5EF3-40A6-AD34-78E020D559DB}"/>
    <hyperlink ref="C33" r:id="rId14" xr:uid="{945D795D-A03A-482E-833A-3BB4B02C55D2}"/>
    <hyperlink ref="C34" r:id="rId15" xr:uid="{DDE6B2E1-0A8A-4195-A560-5F81E53F3123}"/>
    <hyperlink ref="C35" r:id="rId16" xr:uid="{398935FE-74E6-48C9-A2B4-A177177C757E}"/>
    <hyperlink ref="C36" r:id="rId17" xr:uid="{68BC6883-D00E-4574-8CCC-C1DA2BD5F39A}"/>
  </hyperlinks>
  <pageMargins left="0.7" right="0.7" top="0.75" bottom="0.75" header="0.3" footer="0.3"/>
  <tableParts count="1">
    <tablePart r:id="rId18"/>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Jadene Lewis</cp:lastModifiedBy>
  <cp:revision/>
  <dcterms:created xsi:type="dcterms:W3CDTF">2015-06-05T18:17:20Z</dcterms:created>
  <dcterms:modified xsi:type="dcterms:W3CDTF">2025-08-18T17:20:38Z</dcterms:modified>
  <cp:category/>
  <cp:contentStatus/>
</cp:coreProperties>
</file>